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57cfeeab079626/Documentos/Tres de Febrero/Procesamiento/Output/"/>
    </mc:Choice>
  </mc:AlternateContent>
  <xr:revisionPtr revIDLastSave="208" documentId="8_{4BD2C9C3-6B3F-45EC-ACE9-4964AF537A83}" xr6:coauthVersionLast="47" xr6:coauthVersionMax="47" xr10:uidLastSave="{0551E7D0-1F78-4CC7-B334-451FB427AFAB}"/>
  <bookViews>
    <workbookView xWindow="-108" yWindow="-108" windowWidth="23256" windowHeight="12456" activeTab="3" xr2:uid="{11D79D26-49D3-494C-B935-41D5A6EBE35C}"/>
  </bookViews>
  <sheets>
    <sheet name="Hoja3" sheetId="3" r:id="rId1"/>
    <sheet name="Tratadas" sheetId="2" r:id="rId2"/>
    <sheet name="Corr" sheetId="4" r:id="rId3"/>
    <sheet name="Matching manual" sheetId="5" r:id="rId4"/>
    <sheet name="Matching exacto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3" l="1"/>
  <c r="A17" i="3"/>
  <c r="A31" i="3"/>
  <c r="A30" i="3"/>
  <c r="A29" i="3"/>
  <c r="A28" i="3"/>
  <c r="A27" i="3"/>
  <c r="A26" i="3"/>
  <c r="A25" i="3"/>
  <c r="A23" i="3"/>
  <c r="A22" i="3"/>
  <c r="A21" i="3"/>
  <c r="A20" i="3"/>
  <c r="A19" i="3"/>
  <c r="A16" i="3"/>
  <c r="A15" i="3"/>
  <c r="A10" i="3"/>
  <c r="A9" i="3"/>
  <c r="A8" i="3"/>
  <c r="A7" i="3"/>
  <c r="A6" i="3"/>
  <c r="A5" i="3"/>
  <c r="A4" i="3"/>
  <c r="A3" i="3"/>
  <c r="I2" i="3"/>
  <c r="H2" i="3"/>
  <c r="G2" i="3"/>
  <c r="F2" i="3"/>
  <c r="E2" i="3"/>
  <c r="D2" i="3"/>
  <c r="C2" i="3"/>
  <c r="B2" i="3"/>
  <c r="A2" i="3"/>
  <c r="A1" i="3"/>
</calcChain>
</file>

<file path=xl/sharedStrings.xml><?xml version="1.0" encoding="utf-8"?>
<sst xmlns="http://schemas.openxmlformats.org/spreadsheetml/2006/main" count="414" uniqueCount="179">
  <si>
    <t>Variable</t>
  </si>
  <si>
    <t>Mean</t>
  </si>
  <si>
    <t>Std. Dev.</t>
  </si>
  <si>
    <t>Min</t>
  </si>
  <si>
    <t>Max</t>
  </si>
  <si>
    <t>tiene_patio</t>
  </si>
  <si>
    <t>tiene_cocina</t>
  </si>
  <si>
    <t>banos_total2</t>
  </si>
  <si>
    <t>biblioteca</t>
  </si>
  <si>
    <t>tiene_2_3</t>
  </si>
  <si>
    <t>tiene_4_5</t>
  </si>
  <si>
    <t>tiene_multi</t>
  </si>
  <si>
    <t>prop_ninas</t>
  </si>
  <si>
    <t>edad_doc</t>
  </si>
  <si>
    <t>antig_doc</t>
  </si>
  <si>
    <t>aprendizaje</t>
  </si>
  <si>
    <t>dir_lic</t>
  </si>
  <si>
    <t>dir_prof</t>
  </si>
  <si>
    <t>dir_dipl</t>
  </si>
  <si>
    <t>antig_jardin</t>
  </si>
  <si>
    <t>Todas las instituciones</t>
  </si>
  <si>
    <t>Tratadas</t>
  </si>
  <si>
    <t>Variables para el matching</t>
  </si>
  <si>
    <t>Útil</t>
  </si>
  <si>
    <t>Nula variabilidad</t>
  </si>
  <si>
    <t>Poca variabilidad</t>
  </si>
  <si>
    <t>Muy similar</t>
  </si>
  <si>
    <t/>
  </si>
  <si>
    <t xml:space="preserve">Las T tienen: mayor vulnerabilidad, menos salas de 2_3, mayor salas multinivel, menor matricula
</t>
  </si>
  <si>
    <t>Dado el tamaño reducido de la muestra, se seleccionó un conjunto parsimonioso de variables para el emparejamiento, priorizando aquellas con mayor capacidad de diferenciación entre instituciones tratadas y no tratadas y relevancia teórica, incluyendo características del contexto socioeconómico, tamaño institucional y organización pedagógica.</t>
  </si>
  <si>
    <t>ID_institución</t>
  </si>
  <si>
    <t>Tipos de salas</t>
  </si>
  <si>
    <t>5, 4, multiedad 3-4, multiciclo 2-3</t>
  </si>
  <si>
    <t>5, 4, multiciclo 2-3</t>
  </si>
  <si>
    <t>Lactantes &lt;2</t>
  </si>
  <si>
    <t>matricula_total</t>
  </si>
  <si>
    <t>docentes_total</t>
  </si>
  <si>
    <t>matricula_prom</t>
  </si>
  <si>
    <t>docentes_prom</t>
  </si>
  <si>
    <t>cantidad_salas</t>
  </si>
  <si>
    <t>%ninas</t>
  </si>
  <si>
    <t>Participación_capacitación_docen</t>
  </si>
  <si>
    <t>Edad_director</t>
  </si>
  <si>
    <t>antig_dir_anios</t>
  </si>
  <si>
    <t>antig_lab_anios</t>
  </si>
  <si>
    <t>vulnerabilidad</t>
  </si>
  <si>
    <t>recibe_refuerzo</t>
  </si>
  <si>
    <t>infra_indice</t>
  </si>
  <si>
    <t>Maternal</t>
  </si>
  <si>
    <t>Sala 2 y 3</t>
  </si>
  <si>
    <t>Salas 4 y 4</t>
  </si>
  <si>
    <t>Multiciclo o multiedad (2-3; 3-4)</t>
  </si>
  <si>
    <t>.5403831</t>
  </si>
  <si>
    <t>participación_cap_doc</t>
  </si>
  <si>
    <t>Variable original</t>
  </si>
  <si>
    <t>Nombre corto sugerido</t>
  </si>
  <si>
    <t>Matrícula</t>
  </si>
  <si>
    <t>Docentes</t>
  </si>
  <si>
    <t>Matr./sala</t>
  </si>
  <si>
    <t>Doc./sala</t>
  </si>
  <si>
    <t>Salas</t>
  </si>
  <si>
    <t>% niñas</t>
  </si>
  <si>
    <t>Aprendizaje</t>
  </si>
  <si>
    <t>Edad doc.</t>
  </si>
  <si>
    <t>Antig. doc.</t>
  </si>
  <si>
    <t>Cap. docentes</t>
  </si>
  <si>
    <t>Edad dir.</t>
  </si>
  <si>
    <t>Antig. dir.</t>
  </si>
  <si>
    <t>Antig. laboral</t>
  </si>
  <si>
    <t>Vulnerabilidad</t>
  </si>
  <si>
    <t>Refuerzo</t>
  </si>
  <si>
    <t>Baños</t>
  </si>
  <si>
    <t>Biblioteca</t>
  </si>
  <si>
    <t>Índice infra.</t>
  </si>
  <si>
    <t>Antig. jardín</t>
  </si>
  <si>
    <t>Patio</t>
  </si>
  <si>
    <t>tiene_material</t>
  </si>
  <si>
    <t>Material</t>
  </si>
  <si>
    <t>Cocina</t>
  </si>
  <si>
    <t>Sala 2–3</t>
  </si>
  <si>
    <t>Sala 4–5</t>
  </si>
  <si>
    <t>Multiedad</t>
  </si>
  <si>
    <t>matricula_promedio</t>
  </si>
  <si>
    <t>docentes_promedio</t>
  </si>
  <si>
    <t>Dir. lic.</t>
  </si>
  <si>
    <t>Dir. prof.</t>
  </si>
  <si>
    <t>Dir. dipl.</t>
  </si>
  <si>
    <t>Nombre sugerido</t>
  </si>
  <si>
    <t>Refuerzo alimentario</t>
  </si>
  <si>
    <t>Cantidad de baños</t>
  </si>
  <si>
    <t>Disponibilidad de biblioteca</t>
  </si>
  <si>
    <t>Cantidad de salas</t>
  </si>
  <si>
    <t>Salas de 2 a 3 años</t>
  </si>
  <si>
    <t>Salas de 4 a 5 años</t>
  </si>
  <si>
    <t>Modalidad multiedad</t>
  </si>
  <si>
    <t>Matrícula promedio por sala</t>
  </si>
  <si>
    <t>Docentes por sala</t>
  </si>
  <si>
    <t>Proporción de niñas</t>
  </si>
  <si>
    <t>Edad promedio de docentes</t>
  </si>
  <si>
    <t>Antigüedad promedio docente</t>
  </si>
  <si>
    <t>Nivel de aprendizaje</t>
  </si>
  <si>
    <t>Edad del director/a</t>
  </si>
  <si>
    <t>Participación en capacitación docente</t>
  </si>
  <si>
    <t>Antigüedad del director/a en el cargo</t>
  </si>
  <si>
    <t>Antigüedad laboral del director/a</t>
  </si>
  <si>
    <t>Director/a con licenciatura</t>
  </si>
  <si>
    <t>Director/a con diplomatura</t>
  </si>
  <si>
    <t>Antigüedad de la institución</t>
  </si>
  <si>
    <t>Índice de infraestructura</t>
  </si>
  <si>
    <t>*</t>
  </si>
  <si>
    <t>Sala multiedad/multiciclo</t>
  </si>
  <si>
    <t>Matrícula por sala</t>
  </si>
  <si>
    <t>Coeficiente de correlación</t>
  </si>
  <si>
    <t>No se puede usar</t>
  </si>
  <si>
    <t>* Controles manuales</t>
  </si>
  <si>
    <t>P_value</t>
  </si>
  <si>
    <t>tiene_temprano</t>
  </si>
  <si>
    <t>tasa_variacion</t>
  </si>
  <si>
    <t>tasa_variacion_prom</t>
  </si>
  <si>
    <t>Media_control</t>
  </si>
  <si>
    <t>Media_tratada</t>
  </si>
  <si>
    <t>Sample</t>
  </si>
  <si>
    <t>Ps R2</t>
  </si>
  <si>
    <t>chi2</t>
  </si>
  <si>
    <t>p&gt;chi2</t>
  </si>
  <si>
    <t>MeanBias</t>
  </si>
  <si>
    <t>MedBias</t>
  </si>
  <si>
    <t>B</t>
  </si>
  <si>
    <t>R</t>
  </si>
  <si>
    <t>%Var</t>
  </si>
  <si>
    <t>Unmatched</t>
  </si>
  <si>
    <t>0.105</t>
  </si>
  <si>
    <t>1.58</t>
  </si>
  <si>
    <t>0.664</t>
  </si>
  <si>
    <t>53.0</t>
  </si>
  <si>
    <t>37.8</t>
  </si>
  <si>
    <t>87.6*</t>
  </si>
  <si>
    <t>0.10*</t>
  </si>
  <si>
    <t>Matched</t>
  </si>
  <si>
    <t>0.241</t>
  </si>
  <si>
    <t>2.00</t>
  </si>
  <si>
    <t>0.572</t>
  </si>
  <si>
    <t>22.4</t>
  </si>
  <si>
    <t>26.1</t>
  </si>
  <si>
    <t>99.8*</t>
  </si>
  <si>
    <t>0.94</t>
  </si>
  <si>
    <t>Nombre_institución</t>
  </si>
  <si>
    <t>id_obs</t>
  </si>
  <si>
    <t>_n1</t>
  </si>
  <si>
    <t>Jardín</t>
  </si>
  <si>
    <t>de Infantes Municipal Ardillitas Traviesas</t>
  </si>
  <si>
    <t>Jardín de Infantes Municipal Arenales</t>
  </si>
  <si>
    <t>Jardín de Infantes Municipal J. Hernández</t>
  </si>
  <si>
    <t>Diferencia_estandarizada</t>
  </si>
  <si>
    <t>Muestra con 4 controles</t>
  </si>
  <si>
    <t>Muetra con 3 controles</t>
  </si>
  <si>
    <t>Índice de vulnerabilidad</t>
  </si>
  <si>
    <t>Recibe refuerzo educativo</t>
  </si>
  <si>
    <t>Cuenta con patio</t>
  </si>
  <si>
    <t>Disponibilidad de material didáctico</t>
  </si>
  <si>
    <t>Cuenta con cocina</t>
  </si>
  <si>
    <t>Cuenta con biblioteca</t>
  </si>
  <si>
    <t>Tiene sala de 2 y 3 años</t>
  </si>
  <si>
    <t>Tiene sala de 4 y 5 años</t>
  </si>
  <si>
    <t>Tiene salas multiedad</t>
  </si>
  <si>
    <t>Ofrece jornada temprana</t>
  </si>
  <si>
    <t>Matrícula total</t>
  </si>
  <si>
    <t>Total de docentes</t>
  </si>
  <si>
    <t>Docentes promedio por sala</t>
  </si>
  <si>
    <t>Variación de matrícula</t>
  </si>
  <si>
    <t>Variación promedio de matrícula</t>
  </si>
  <si>
    <t>Proporción de niñas (%)</t>
  </si>
  <si>
    <t>Antigüedad promedio docente (años)</t>
  </si>
  <si>
    <t>Índice de aprendizaje</t>
  </si>
  <si>
    <t>Antigüedad del director/a (años)</t>
  </si>
  <si>
    <t>Antigüedad laboral (años)</t>
  </si>
  <si>
    <t>Director/a con profesorado</t>
  </si>
  <si>
    <t>Antigüedad del jardín (años)</t>
  </si>
  <si>
    <t>Matching exacto por 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</si>
</sst>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2" fontId="0" fillId="0" borderId="0" xfId="0" applyNumberFormat="1"/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6ABED-1EC7-4E14-A1AC-72C6AB5F4EF0}">
  <dimension ref="A1:Q33"/>
  <sheetViews>
    <sheetView topLeftCell="A6" workbookViewId="0">
      <selection activeCell="G17" sqref="G17"/>
    </sheetView>
  </sheetViews>
  <sheetFormatPr baseColWidth="10" defaultRowHeight="14.4" x14ac:dyDescent="0.3"/>
  <cols>
    <col min="1" max="1" width="21.5546875" customWidth="1"/>
    <col min="2" max="9" width="8.21875" style="1" customWidth="1"/>
    <col min="10" max="10" width="26.109375" style="1" bestFit="1" customWidth="1"/>
    <col min="12" max="12" width="15" customWidth="1"/>
    <col min="13" max="13" width="23.44140625" customWidth="1"/>
  </cols>
  <sheetData>
    <row r="1" spans="1:13" x14ac:dyDescent="0.3">
      <c r="A1" s="10" t="str">
        <f>""</f>
        <v/>
      </c>
      <c r="B1" s="19" t="s">
        <v>20</v>
      </c>
      <c r="C1" s="19"/>
      <c r="D1" s="19"/>
      <c r="E1" s="19"/>
      <c r="F1" s="19" t="s">
        <v>21</v>
      </c>
      <c r="G1" s="19"/>
      <c r="H1" s="19"/>
      <c r="I1" s="19"/>
    </row>
    <row r="2" spans="1:13" ht="43.2" x14ac:dyDescent="0.3">
      <c r="A2" t="str">
        <f>""</f>
        <v/>
      </c>
      <c r="B2" s="11" t="str">
        <f>"mean"</f>
        <v>mean</v>
      </c>
      <c r="C2" s="11" t="str">
        <f>"sd"</f>
        <v>sd</v>
      </c>
      <c r="D2" s="11" t="str">
        <f>"min"</f>
        <v>min</v>
      </c>
      <c r="E2" s="11" t="str">
        <f>"max"</f>
        <v>max</v>
      </c>
      <c r="F2" s="11" t="str">
        <f>"mean"</f>
        <v>mean</v>
      </c>
      <c r="G2" s="11" t="str">
        <f>"sd"</f>
        <v>sd</v>
      </c>
      <c r="H2" s="11" t="str">
        <f>"min"</f>
        <v>min</v>
      </c>
      <c r="I2" s="11" t="str">
        <f>"max"</f>
        <v>max</v>
      </c>
      <c r="J2" s="1" t="s">
        <v>22</v>
      </c>
      <c r="L2" s="15" t="s">
        <v>54</v>
      </c>
      <c r="M2" s="15" t="s">
        <v>55</v>
      </c>
    </row>
    <row r="3" spans="1:13" x14ac:dyDescent="0.3">
      <c r="A3" t="str">
        <f>"vulnerabilidad"</f>
        <v>vulnerabilidad</v>
      </c>
      <c r="B3" s="2">
        <v>0.37037039999999999</v>
      </c>
      <c r="C3" s="2">
        <v>0.49210290000000001</v>
      </c>
      <c r="D3" s="2">
        <v>0</v>
      </c>
      <c r="E3" s="2">
        <v>1</v>
      </c>
      <c r="F3" s="2">
        <v>0.4</v>
      </c>
      <c r="G3" s="2">
        <v>0.54772259999999995</v>
      </c>
      <c r="H3" s="2">
        <v>0</v>
      </c>
      <c r="I3" s="2">
        <v>1</v>
      </c>
      <c r="J3" s="1" t="s">
        <v>23</v>
      </c>
      <c r="L3" s="16" t="s">
        <v>45</v>
      </c>
      <c r="M3" s="16" t="s">
        <v>69</v>
      </c>
    </row>
    <row r="4" spans="1:13" x14ac:dyDescent="0.3">
      <c r="A4" t="str">
        <f>"recibe_refuerzo"</f>
        <v>recibe_refuerzo</v>
      </c>
      <c r="B4" s="2">
        <v>0.48148150000000001</v>
      </c>
      <c r="C4" s="2">
        <v>0.50917509999999999</v>
      </c>
      <c r="D4" s="2">
        <v>0</v>
      </c>
      <c r="E4" s="2">
        <v>1</v>
      </c>
      <c r="F4" s="2">
        <v>0.6</v>
      </c>
      <c r="G4" s="2">
        <v>0.54772259999999995</v>
      </c>
      <c r="H4" s="2">
        <v>0</v>
      </c>
      <c r="I4" s="2">
        <v>1</v>
      </c>
      <c r="J4" s="1" t="s">
        <v>23</v>
      </c>
      <c r="L4" s="16" t="s">
        <v>46</v>
      </c>
      <c r="M4" s="16" t="s">
        <v>70</v>
      </c>
    </row>
    <row r="5" spans="1:13" x14ac:dyDescent="0.3">
      <c r="A5" t="str">
        <f>"tiene_patio"</f>
        <v>tiene_patio</v>
      </c>
      <c r="B5" s="2">
        <v>0.96296300000000001</v>
      </c>
      <c r="C5" s="2">
        <v>0.19245010000000001</v>
      </c>
      <c r="D5" s="2">
        <v>0</v>
      </c>
      <c r="E5" s="2">
        <v>1</v>
      </c>
      <c r="F5" s="2">
        <v>1</v>
      </c>
      <c r="G5" s="2">
        <v>0</v>
      </c>
      <c r="H5" s="2">
        <v>1</v>
      </c>
      <c r="I5" s="2">
        <v>1</v>
      </c>
      <c r="J5" s="1" t="s">
        <v>24</v>
      </c>
      <c r="L5" s="16" t="s">
        <v>5</v>
      </c>
      <c r="M5" s="16" t="s">
        <v>75</v>
      </c>
    </row>
    <row r="6" spans="1:13" ht="28.8" x14ac:dyDescent="0.3">
      <c r="A6" t="str">
        <f>"tiene_material"</f>
        <v>tiene_material</v>
      </c>
      <c r="B6" s="2">
        <v>1</v>
      </c>
      <c r="C6" s="2">
        <v>0</v>
      </c>
      <c r="D6" s="2">
        <v>1</v>
      </c>
      <c r="E6" s="2">
        <v>1</v>
      </c>
      <c r="F6" s="2">
        <v>1</v>
      </c>
      <c r="G6" s="2">
        <v>0</v>
      </c>
      <c r="H6" s="2">
        <v>1</v>
      </c>
      <c r="I6" s="2">
        <v>1</v>
      </c>
      <c r="J6" s="1" t="s">
        <v>24</v>
      </c>
      <c r="L6" s="16" t="s">
        <v>76</v>
      </c>
      <c r="M6" s="16" t="s">
        <v>77</v>
      </c>
    </row>
    <row r="7" spans="1:13" x14ac:dyDescent="0.3">
      <c r="A7" t="str">
        <f>"tiene_cocina"</f>
        <v>tiene_cocina</v>
      </c>
      <c r="B7" s="2">
        <v>1</v>
      </c>
      <c r="C7" s="2">
        <v>0</v>
      </c>
      <c r="D7" s="2">
        <v>1</v>
      </c>
      <c r="E7" s="2">
        <v>1</v>
      </c>
      <c r="F7" s="2">
        <v>1</v>
      </c>
      <c r="G7" s="2">
        <v>0</v>
      </c>
      <c r="H7" s="2">
        <v>1</v>
      </c>
      <c r="I7" s="2">
        <v>1</v>
      </c>
      <c r="J7" s="1" t="s">
        <v>24</v>
      </c>
      <c r="L7" s="16" t="s">
        <v>6</v>
      </c>
      <c r="M7" s="16" t="s">
        <v>78</v>
      </c>
    </row>
    <row r="8" spans="1:13" x14ac:dyDescent="0.3">
      <c r="A8" t="str">
        <f>"banos_total2"</f>
        <v>banos_total2</v>
      </c>
      <c r="B8" s="2">
        <v>6.6296299999999997</v>
      </c>
      <c r="C8" s="2">
        <v>1.8006009999999999</v>
      </c>
      <c r="D8" s="2">
        <v>4</v>
      </c>
      <c r="E8" s="2">
        <v>11</v>
      </c>
      <c r="F8" s="2">
        <v>7.4</v>
      </c>
      <c r="G8" s="2">
        <v>1.1401749999999999</v>
      </c>
      <c r="H8" s="2">
        <v>6</v>
      </c>
      <c r="I8" s="2">
        <v>9</v>
      </c>
      <c r="J8" s="1" t="s">
        <v>23</v>
      </c>
      <c r="L8" s="16" t="s">
        <v>7</v>
      </c>
      <c r="M8" s="16" t="s">
        <v>71</v>
      </c>
    </row>
    <row r="9" spans="1:13" x14ac:dyDescent="0.3">
      <c r="A9" t="str">
        <f>"biblioteca"</f>
        <v>biblioteca</v>
      </c>
      <c r="B9" s="2">
        <v>0.62962960000000001</v>
      </c>
      <c r="C9" s="2">
        <v>0.49210290000000001</v>
      </c>
      <c r="D9" s="2">
        <v>0</v>
      </c>
      <c r="E9" s="2">
        <v>1</v>
      </c>
      <c r="F9" s="2">
        <v>0.8</v>
      </c>
      <c r="G9" s="2">
        <v>0.44721359999999999</v>
      </c>
      <c r="H9" s="2">
        <v>0</v>
      </c>
      <c r="I9" s="2">
        <v>1</v>
      </c>
      <c r="J9" s="1" t="s">
        <v>23</v>
      </c>
      <c r="L9" s="16" t="s">
        <v>8</v>
      </c>
      <c r="M9" s="16" t="s">
        <v>72</v>
      </c>
    </row>
    <row r="10" spans="1:13" x14ac:dyDescent="0.3">
      <c r="A10" t="str">
        <f>"cantidad_salas"</f>
        <v>cantidad_salas</v>
      </c>
      <c r="B10" s="2">
        <v>5.6417919999999997</v>
      </c>
      <c r="C10" s="2">
        <v>1.983096</v>
      </c>
      <c r="D10" s="2">
        <v>2</v>
      </c>
      <c r="E10" s="2">
        <v>10.786519999999999</v>
      </c>
      <c r="F10" s="2">
        <v>5.70566</v>
      </c>
      <c r="G10" s="2">
        <v>0.65816339999999995</v>
      </c>
      <c r="H10" s="2">
        <v>4.528302</v>
      </c>
      <c r="I10" s="2">
        <v>6</v>
      </c>
      <c r="J10" s="1" t="s">
        <v>23</v>
      </c>
      <c r="L10" s="16" t="s">
        <v>39</v>
      </c>
      <c r="M10" s="16" t="s">
        <v>60</v>
      </c>
    </row>
    <row r="11" spans="1:13" x14ac:dyDescent="0.3">
      <c r="A11" t="s">
        <v>48</v>
      </c>
      <c r="B11" s="2">
        <v>3.7037E-2</v>
      </c>
      <c r="C11" s="2">
        <v>0.19245010000000001</v>
      </c>
      <c r="D11" s="2">
        <v>0</v>
      </c>
      <c r="E11" s="2">
        <v>1</v>
      </c>
      <c r="F11" s="2">
        <v>0.2</v>
      </c>
      <c r="G11" s="2">
        <v>0.44721359999999999</v>
      </c>
      <c r="H11" s="2">
        <v>0</v>
      </c>
      <c r="I11" s="2">
        <v>1</v>
      </c>
      <c r="L11" s="16" t="s">
        <v>48</v>
      </c>
      <c r="M11" s="16" t="s">
        <v>48</v>
      </c>
    </row>
    <row r="12" spans="1:13" x14ac:dyDescent="0.3">
      <c r="A12" t="s">
        <v>49</v>
      </c>
      <c r="B12" s="2">
        <v>0.48148150000000001</v>
      </c>
      <c r="C12" s="2">
        <v>0.50917509999999999</v>
      </c>
      <c r="D12" s="2">
        <v>0</v>
      </c>
      <c r="E12" s="2">
        <v>1</v>
      </c>
      <c r="F12" s="2">
        <v>0.2</v>
      </c>
      <c r="G12" s="2">
        <v>0.44721359999999999</v>
      </c>
      <c r="H12" s="2">
        <v>0</v>
      </c>
      <c r="I12" s="2">
        <v>1</v>
      </c>
      <c r="J12" s="1" t="s">
        <v>23</v>
      </c>
      <c r="L12" s="16" t="s">
        <v>49</v>
      </c>
      <c r="M12" s="16" t="s">
        <v>79</v>
      </c>
    </row>
    <row r="13" spans="1:13" x14ac:dyDescent="0.3">
      <c r="A13" t="s">
        <v>50</v>
      </c>
      <c r="B13" s="2">
        <v>0.92592589999999997</v>
      </c>
      <c r="C13" s="2">
        <v>0.26688030000000001</v>
      </c>
      <c r="D13" s="2">
        <v>0</v>
      </c>
      <c r="E13" s="2">
        <v>1</v>
      </c>
      <c r="F13" s="2">
        <v>0.8</v>
      </c>
      <c r="G13" s="2">
        <v>0.44721359999999999</v>
      </c>
      <c r="H13" s="2">
        <v>0</v>
      </c>
      <c r="I13" s="2">
        <v>1</v>
      </c>
      <c r="J13" s="1" t="s">
        <v>25</v>
      </c>
      <c r="L13" s="16" t="s">
        <v>50</v>
      </c>
      <c r="M13" s="16" t="s">
        <v>80</v>
      </c>
    </row>
    <row r="14" spans="1:13" ht="43.2" x14ac:dyDescent="0.3">
      <c r="A14" s="14" t="s">
        <v>51</v>
      </c>
      <c r="B14" s="2">
        <v>0.66666669999999995</v>
      </c>
      <c r="C14" s="2">
        <v>0.48038449999999999</v>
      </c>
      <c r="D14" s="2">
        <v>0</v>
      </c>
      <c r="E14" s="2">
        <v>1</v>
      </c>
      <c r="F14" s="2">
        <v>0.8</v>
      </c>
      <c r="G14" s="2">
        <v>0.44721359999999999</v>
      </c>
      <c r="H14" s="2">
        <v>0</v>
      </c>
      <c r="I14" s="2">
        <v>1</v>
      </c>
      <c r="J14" s="1" t="s">
        <v>23</v>
      </c>
      <c r="L14" s="16" t="s">
        <v>51</v>
      </c>
      <c r="M14" s="16" t="s">
        <v>81</v>
      </c>
    </row>
    <row r="15" spans="1:13" x14ac:dyDescent="0.3">
      <c r="A15" t="str">
        <f>"matricula_total"</f>
        <v>matricula_total</v>
      </c>
      <c r="B15" s="2">
        <v>97.179680000000005</v>
      </c>
      <c r="C15" s="2">
        <v>44.831760000000003</v>
      </c>
      <c r="D15" s="2">
        <v>37.67568</v>
      </c>
      <c r="E15" s="2">
        <v>201.30340000000001</v>
      </c>
      <c r="F15" s="2">
        <v>79.112949999999998</v>
      </c>
      <c r="G15" s="2">
        <v>17.64611</v>
      </c>
      <c r="H15" s="2">
        <v>59.528300000000002</v>
      </c>
      <c r="I15" s="2">
        <v>104.6087</v>
      </c>
      <c r="J15" s="1" t="s">
        <v>23</v>
      </c>
      <c r="L15" s="16" t="s">
        <v>35</v>
      </c>
      <c r="M15" s="16" t="s">
        <v>56</v>
      </c>
    </row>
    <row r="16" spans="1:13" ht="28.8" x14ac:dyDescent="0.3">
      <c r="A16" t="str">
        <f>"docentes_total"</f>
        <v>docentes_total</v>
      </c>
      <c r="B16" s="2">
        <v>6.6632790000000002</v>
      </c>
      <c r="C16" s="2">
        <v>2.9194339999999999</v>
      </c>
      <c r="D16" s="2">
        <v>2</v>
      </c>
      <c r="E16" s="2">
        <v>14.35955</v>
      </c>
      <c r="F16" s="2">
        <v>6.8</v>
      </c>
      <c r="G16" s="2">
        <v>1.7888539999999999</v>
      </c>
      <c r="H16" s="2">
        <v>6</v>
      </c>
      <c r="I16" s="2">
        <v>10</v>
      </c>
      <c r="J16" s="1" t="s">
        <v>26</v>
      </c>
      <c r="L16" s="16" t="s">
        <v>36</v>
      </c>
      <c r="M16" s="16" t="s">
        <v>57</v>
      </c>
    </row>
    <row r="17" spans="1:17" ht="28.8" x14ac:dyDescent="0.3">
      <c r="A17" t="str">
        <f>"matricula_promedio"</f>
        <v>matricula_promedio</v>
      </c>
      <c r="B17" s="2">
        <v>17.09</v>
      </c>
      <c r="C17" s="2">
        <v>3.98</v>
      </c>
      <c r="D17" s="2">
        <v>11.2</v>
      </c>
      <c r="E17" s="2">
        <v>28.37</v>
      </c>
      <c r="F17" s="2">
        <v>13.83</v>
      </c>
      <c r="G17" s="1">
        <v>2.34</v>
      </c>
      <c r="H17" s="2">
        <v>11.19</v>
      </c>
      <c r="I17" s="2">
        <v>17.43</v>
      </c>
      <c r="J17" s="1" t="s">
        <v>23</v>
      </c>
      <c r="L17" s="16" t="s">
        <v>82</v>
      </c>
      <c r="M17" s="16" t="s">
        <v>58</v>
      </c>
      <c r="N17" t="s">
        <v>1</v>
      </c>
      <c r="O17" t="s">
        <v>2</v>
      </c>
      <c r="P17" t="s">
        <v>3</v>
      </c>
      <c r="Q17" t="s">
        <v>4</v>
      </c>
    </row>
    <row r="18" spans="1:17" ht="28.8" x14ac:dyDescent="0.3">
      <c r="A18" t="str">
        <f>"docentes_promedio"</f>
        <v>docentes_promedio</v>
      </c>
      <c r="B18" s="2">
        <v>1.22</v>
      </c>
      <c r="C18" s="2">
        <v>0.6</v>
      </c>
      <c r="D18" s="2">
        <v>1</v>
      </c>
      <c r="E18" s="2">
        <v>3.92</v>
      </c>
      <c r="F18" s="2">
        <v>1.24</v>
      </c>
      <c r="G18" s="2">
        <v>0.54</v>
      </c>
      <c r="H18" s="2">
        <v>1</v>
      </c>
      <c r="I18" s="2">
        <v>2.21</v>
      </c>
      <c r="J18" s="1" t="s">
        <v>26</v>
      </c>
      <c r="L18" s="16" t="s">
        <v>83</v>
      </c>
      <c r="M18" s="16" t="s">
        <v>59</v>
      </c>
    </row>
    <row r="19" spans="1:17" x14ac:dyDescent="0.3">
      <c r="A19" t="str">
        <f>"prop_ninas"</f>
        <v>prop_ninas</v>
      </c>
      <c r="B19" s="2">
        <v>49.825240000000001</v>
      </c>
      <c r="C19" s="2">
        <v>7.2020200000000001</v>
      </c>
      <c r="D19" s="2">
        <v>33.902929999999998</v>
      </c>
      <c r="E19" s="2">
        <v>66.881540000000001</v>
      </c>
      <c r="F19" s="2">
        <v>48.581339999999997</v>
      </c>
      <c r="G19" s="2">
        <v>5.0563560000000001</v>
      </c>
      <c r="H19" s="2">
        <v>42.862499999999997</v>
      </c>
      <c r="I19" s="2">
        <v>53.055540000000001</v>
      </c>
      <c r="J19" s="1" t="s">
        <v>26</v>
      </c>
      <c r="L19" s="16" t="s">
        <v>12</v>
      </c>
      <c r="M19" s="16" t="s">
        <v>61</v>
      </c>
      <c r="N19" s="8">
        <v>1383038</v>
      </c>
      <c r="O19" s="8">
        <v>233806</v>
      </c>
      <c r="P19" s="8">
        <v>1119672</v>
      </c>
      <c r="Q19" s="8">
        <v>1743478</v>
      </c>
    </row>
    <row r="20" spans="1:17" x14ac:dyDescent="0.3">
      <c r="A20" t="str">
        <f>"edad_doc"</f>
        <v>edad_doc</v>
      </c>
      <c r="B20" s="2">
        <v>41.90222</v>
      </c>
      <c r="C20" s="2">
        <v>4.9210019999999997</v>
      </c>
      <c r="D20" s="2">
        <v>30.2</v>
      </c>
      <c r="E20" s="2">
        <v>53</v>
      </c>
      <c r="F20" s="2">
        <v>43.606920000000002</v>
      </c>
      <c r="G20" s="2">
        <v>5.0769700000000002</v>
      </c>
      <c r="H20" s="2">
        <v>38.16883</v>
      </c>
      <c r="I20" s="2">
        <v>50.295079999999999</v>
      </c>
      <c r="J20" s="1" t="s">
        <v>23</v>
      </c>
      <c r="L20" s="16" t="s">
        <v>13</v>
      </c>
      <c r="M20" s="16" t="s">
        <v>63</v>
      </c>
      <c r="N20" s="8">
        <v>1241667</v>
      </c>
      <c r="O20" t="s">
        <v>52</v>
      </c>
      <c r="P20">
        <v>1</v>
      </c>
      <c r="Q20" s="8">
        <v>2208333</v>
      </c>
    </row>
    <row r="21" spans="1:17" x14ac:dyDescent="0.3">
      <c r="A21" t="str">
        <f>"antig_doc"</f>
        <v>antig_doc</v>
      </c>
      <c r="B21" s="2">
        <v>12.403829999999999</v>
      </c>
      <c r="C21" s="2">
        <v>4.4644170000000001</v>
      </c>
      <c r="D21" s="2">
        <v>4.2077920000000004</v>
      </c>
      <c r="E21" s="2">
        <v>21.68852</v>
      </c>
      <c r="F21" s="2">
        <v>12.82813</v>
      </c>
      <c r="G21" s="2">
        <v>6.9992039999999998</v>
      </c>
      <c r="H21" s="2">
        <v>4.2077920000000004</v>
      </c>
      <c r="I21" s="2">
        <v>21.68852</v>
      </c>
      <c r="J21" s="1" t="s">
        <v>26</v>
      </c>
      <c r="L21" s="16" t="s">
        <v>14</v>
      </c>
      <c r="M21" s="16" t="s">
        <v>64</v>
      </c>
    </row>
    <row r="22" spans="1:17" x14ac:dyDescent="0.3">
      <c r="A22" t="str">
        <f>"aprendizaje"</f>
        <v>aprendizaje</v>
      </c>
      <c r="B22" s="2">
        <v>73.847859999999997</v>
      </c>
      <c r="C22" s="2">
        <v>11.32466</v>
      </c>
      <c r="D22" s="2">
        <v>48.25</v>
      </c>
      <c r="E22" s="2">
        <v>97.1</v>
      </c>
      <c r="F22" s="2">
        <v>68.098100000000002</v>
      </c>
      <c r="G22" s="2">
        <v>14.08949</v>
      </c>
      <c r="H22" s="2">
        <v>48.25</v>
      </c>
      <c r="I22" s="2">
        <v>81.382999999999996</v>
      </c>
      <c r="J22" s="1" t="s">
        <v>113</v>
      </c>
      <c r="L22" s="16" t="s">
        <v>15</v>
      </c>
      <c r="M22" s="16" t="s">
        <v>62</v>
      </c>
    </row>
    <row r="23" spans="1:17" x14ac:dyDescent="0.3">
      <c r="A23" t="str">
        <f>"Edad_director"</f>
        <v>Edad_director</v>
      </c>
      <c r="B23" s="2">
        <v>49.111109999999996</v>
      </c>
      <c r="C23" s="2">
        <v>6.1913919999999996</v>
      </c>
      <c r="D23" s="2">
        <v>37</v>
      </c>
      <c r="E23" s="2">
        <v>60</v>
      </c>
      <c r="F23" s="2">
        <v>47</v>
      </c>
      <c r="G23" s="2">
        <v>5.0497519999999998</v>
      </c>
      <c r="H23" s="2">
        <v>41</v>
      </c>
      <c r="I23" s="2">
        <v>54</v>
      </c>
      <c r="J23" s="1" t="s">
        <v>23</v>
      </c>
      <c r="L23" s="16" t="s">
        <v>42</v>
      </c>
      <c r="M23" s="16" t="s">
        <v>66</v>
      </c>
    </row>
    <row r="24" spans="1:17" ht="28.8" x14ac:dyDescent="0.3">
      <c r="A24" t="s">
        <v>53</v>
      </c>
      <c r="B24" s="2">
        <v>0.3985185</v>
      </c>
      <c r="C24" s="2">
        <v>0.18689169999999999</v>
      </c>
      <c r="D24" s="2">
        <v>0.2</v>
      </c>
      <c r="E24" s="2">
        <v>0.8</v>
      </c>
      <c r="F24" s="2">
        <v>0.42</v>
      </c>
      <c r="G24" s="2">
        <v>0.27973199999999998</v>
      </c>
      <c r="H24" s="2">
        <v>0.2</v>
      </c>
      <c r="I24" s="2">
        <v>0.75</v>
      </c>
      <c r="J24" s="1" t="s">
        <v>26</v>
      </c>
      <c r="L24" s="16" t="s">
        <v>53</v>
      </c>
      <c r="M24" s="16" t="s">
        <v>65</v>
      </c>
    </row>
    <row r="25" spans="1:17" x14ac:dyDescent="0.3">
      <c r="A25" t="str">
        <f>"antig_dir_anios"</f>
        <v>antig_dir_anios</v>
      </c>
      <c r="B25" s="2">
        <v>5.8888889999999998</v>
      </c>
      <c r="C25" s="2">
        <v>5.5314269999999999</v>
      </c>
      <c r="D25" s="2">
        <v>8.3333299999999999E-2</v>
      </c>
      <c r="E25" s="2">
        <v>24</v>
      </c>
      <c r="F25" s="2">
        <v>7.2</v>
      </c>
      <c r="G25" s="2">
        <v>4.266146</v>
      </c>
      <c r="H25" s="2">
        <v>1</v>
      </c>
      <c r="I25" s="2">
        <v>11</v>
      </c>
      <c r="J25" s="1" t="s">
        <v>23</v>
      </c>
      <c r="L25" s="16" t="s">
        <v>43</v>
      </c>
      <c r="M25" s="16" t="s">
        <v>67</v>
      </c>
    </row>
    <row r="26" spans="1:17" x14ac:dyDescent="0.3">
      <c r="A26" t="str">
        <f>"antig_lab_anios"</f>
        <v>antig_lab_anios</v>
      </c>
      <c r="B26" s="2">
        <v>22.756170000000001</v>
      </c>
      <c r="C26" s="2">
        <v>9.6374980000000008</v>
      </c>
      <c r="D26" s="2">
        <v>0.3333333</v>
      </c>
      <c r="E26" s="2">
        <v>40</v>
      </c>
      <c r="F26" s="2">
        <v>24.2</v>
      </c>
      <c r="G26" s="2">
        <v>7.1902710000000001</v>
      </c>
      <c r="H26" s="2">
        <v>18</v>
      </c>
      <c r="I26" s="2">
        <v>36</v>
      </c>
      <c r="J26" s="1" t="s">
        <v>23</v>
      </c>
      <c r="L26" s="16" t="s">
        <v>44</v>
      </c>
      <c r="M26" s="16" t="s">
        <v>68</v>
      </c>
    </row>
    <row r="27" spans="1:17" x14ac:dyDescent="0.3">
      <c r="A27" t="str">
        <f>"dir_lic"</f>
        <v>dir_lic</v>
      </c>
      <c r="B27" s="2">
        <v>0.51851849999999999</v>
      </c>
      <c r="C27" s="2">
        <v>0.50917509999999999</v>
      </c>
      <c r="D27" s="2">
        <v>0</v>
      </c>
      <c r="E27" s="2">
        <v>1</v>
      </c>
      <c r="F27" s="2">
        <v>0.6</v>
      </c>
      <c r="G27" s="2">
        <v>0.54772259999999995</v>
      </c>
      <c r="H27" s="2">
        <v>0</v>
      </c>
      <c r="I27" s="2">
        <v>1</v>
      </c>
      <c r="J27" s="1" t="s">
        <v>23</v>
      </c>
      <c r="L27" s="16" t="s">
        <v>16</v>
      </c>
      <c r="M27" s="16" t="s">
        <v>84</v>
      </c>
    </row>
    <row r="28" spans="1:17" x14ac:dyDescent="0.3">
      <c r="A28" t="str">
        <f>"dir_prof"</f>
        <v>dir_prof</v>
      </c>
      <c r="B28" s="2">
        <v>1</v>
      </c>
      <c r="C28" s="2">
        <v>0</v>
      </c>
      <c r="D28" s="2">
        <v>1</v>
      </c>
      <c r="E28" s="2">
        <v>1</v>
      </c>
      <c r="F28" s="2">
        <v>1</v>
      </c>
      <c r="G28" s="2">
        <v>0</v>
      </c>
      <c r="H28" s="2">
        <v>1</v>
      </c>
      <c r="I28" s="2">
        <v>1</v>
      </c>
      <c r="J28" s="1" t="s">
        <v>24</v>
      </c>
      <c r="L28" s="16" t="s">
        <v>17</v>
      </c>
      <c r="M28" s="16" t="s">
        <v>85</v>
      </c>
    </row>
    <row r="29" spans="1:17" x14ac:dyDescent="0.3">
      <c r="A29" t="str">
        <f>"dir_dipl"</f>
        <v>dir_dipl</v>
      </c>
      <c r="B29" s="2">
        <v>0.25925930000000003</v>
      </c>
      <c r="C29" s="2">
        <v>0.44657609999999998</v>
      </c>
      <c r="D29" s="2">
        <v>0</v>
      </c>
      <c r="E29" s="2">
        <v>1</v>
      </c>
      <c r="F29" s="2">
        <v>0.4</v>
      </c>
      <c r="G29" s="2">
        <v>0.54772259999999995</v>
      </c>
      <c r="H29" s="2">
        <v>0</v>
      </c>
      <c r="I29" s="2">
        <v>1</v>
      </c>
      <c r="J29" s="1" t="s">
        <v>23</v>
      </c>
      <c r="L29" s="16" t="s">
        <v>18</v>
      </c>
      <c r="M29" s="16" t="s">
        <v>86</v>
      </c>
    </row>
    <row r="30" spans="1:17" x14ac:dyDescent="0.3">
      <c r="A30" s="9" t="str">
        <f>"antig_jardin"</f>
        <v>antig_jardin</v>
      </c>
      <c r="B30" s="12">
        <v>45.666670000000003</v>
      </c>
      <c r="C30" s="12">
        <v>12.063929999999999</v>
      </c>
      <c r="D30" s="12">
        <v>28</v>
      </c>
      <c r="E30" s="12">
        <v>90</v>
      </c>
      <c r="F30" s="12">
        <v>41.2</v>
      </c>
      <c r="G30" s="12">
        <v>9.1487700000000007</v>
      </c>
      <c r="H30" s="12">
        <v>29</v>
      </c>
      <c r="I30" s="12">
        <v>52</v>
      </c>
      <c r="J30" s="1" t="s">
        <v>23</v>
      </c>
      <c r="L30" s="16" t="s">
        <v>19</v>
      </c>
      <c r="M30" s="16" t="s">
        <v>74</v>
      </c>
    </row>
    <row r="31" spans="1:17" x14ac:dyDescent="0.3">
      <c r="A31" s="10" t="str">
        <f>"N"</f>
        <v>N</v>
      </c>
      <c r="B31" s="13">
        <v>27</v>
      </c>
      <c r="C31" s="13" t="s">
        <v>27</v>
      </c>
      <c r="D31" s="13" t="s">
        <v>27</v>
      </c>
      <c r="E31" s="13" t="s">
        <v>27</v>
      </c>
      <c r="F31" s="13">
        <v>5</v>
      </c>
      <c r="G31" s="13" t="s">
        <v>27</v>
      </c>
      <c r="H31" s="13" t="s">
        <v>27</v>
      </c>
      <c r="I31" s="13" t="s">
        <v>27</v>
      </c>
    </row>
    <row r="32" spans="1:17" ht="72" x14ac:dyDescent="0.3">
      <c r="J32" s="3" t="s">
        <v>28</v>
      </c>
    </row>
    <row r="33" spans="10:10" ht="187.2" x14ac:dyDescent="0.3">
      <c r="J33" s="3" t="s">
        <v>29</v>
      </c>
    </row>
  </sheetData>
  <mergeCells count="2">
    <mergeCell ref="B1:E1"/>
    <mergeCell ref="F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BBF46-9AE0-481B-B808-13DE48124755}">
  <dimension ref="A1:J21"/>
  <sheetViews>
    <sheetView topLeftCell="A2" workbookViewId="0">
      <selection activeCell="J2" sqref="J2"/>
    </sheetView>
  </sheetViews>
  <sheetFormatPr baseColWidth="10" defaultRowHeight="14.4" x14ac:dyDescent="0.3"/>
  <sheetData>
    <row r="1" spans="1:10" x14ac:dyDescent="0.3">
      <c r="A1" t="s">
        <v>30</v>
      </c>
      <c r="B1" s="4">
        <v>3</v>
      </c>
      <c r="C1" s="4">
        <v>4</v>
      </c>
      <c r="D1" s="4">
        <v>13</v>
      </c>
      <c r="E1" s="4">
        <v>16</v>
      </c>
      <c r="F1" s="4">
        <v>27</v>
      </c>
    </row>
    <row r="2" spans="1:10" ht="57.6" x14ac:dyDescent="0.3">
      <c r="A2" s="5" t="s">
        <v>31</v>
      </c>
      <c r="B2" s="6" t="s">
        <v>32</v>
      </c>
      <c r="C2" s="6" t="s">
        <v>32</v>
      </c>
      <c r="D2" s="6" t="s">
        <v>33</v>
      </c>
      <c r="E2" s="6" t="s">
        <v>33</v>
      </c>
      <c r="F2" s="6" t="s">
        <v>34</v>
      </c>
      <c r="I2" s="15" t="s">
        <v>54</v>
      </c>
      <c r="J2" s="15" t="s">
        <v>55</v>
      </c>
    </row>
    <row r="3" spans="1:10" ht="28.8" x14ac:dyDescent="0.3">
      <c r="A3" t="s">
        <v>35</v>
      </c>
      <c r="B3" s="4">
        <v>67.180327868852459</v>
      </c>
      <c r="C3" s="4">
        <v>87.194805194805213</v>
      </c>
      <c r="D3" s="4">
        <v>104.60869565217392</v>
      </c>
      <c r="E3" s="4">
        <v>77.05263157894737</v>
      </c>
      <c r="F3" s="4">
        <v>59.528301886792462</v>
      </c>
      <c r="I3" s="16" t="s">
        <v>35</v>
      </c>
      <c r="J3" s="16" t="s">
        <v>56</v>
      </c>
    </row>
    <row r="4" spans="1:10" ht="28.8" x14ac:dyDescent="0.3">
      <c r="A4" t="s">
        <v>36</v>
      </c>
      <c r="B4" s="4">
        <v>6.0000000000000009</v>
      </c>
      <c r="C4" s="4">
        <v>6</v>
      </c>
      <c r="D4" s="4">
        <v>6</v>
      </c>
      <c r="E4" s="4">
        <v>5.9999999999999991</v>
      </c>
      <c r="F4" s="4">
        <v>10</v>
      </c>
      <c r="I4" s="16" t="s">
        <v>36</v>
      </c>
      <c r="J4" s="16" t="s">
        <v>57</v>
      </c>
    </row>
    <row r="5" spans="1:10" ht="28.8" x14ac:dyDescent="0.3">
      <c r="A5" t="s">
        <v>37</v>
      </c>
      <c r="B5" s="4">
        <v>11.196721076965332</v>
      </c>
      <c r="C5" s="4">
        <v>14.532467842102051</v>
      </c>
      <c r="D5" s="4">
        <v>17.434782028198242</v>
      </c>
      <c r="E5" s="4">
        <v>12.842104911804199</v>
      </c>
      <c r="F5" s="4">
        <v>13.145833015441895</v>
      </c>
      <c r="I5" s="16" t="s">
        <v>37</v>
      </c>
      <c r="J5" s="16" t="s">
        <v>58</v>
      </c>
    </row>
    <row r="6" spans="1:10" ht="28.8" x14ac:dyDescent="0.3">
      <c r="A6" t="s">
        <v>38</v>
      </c>
      <c r="B6" s="4">
        <v>1</v>
      </c>
      <c r="C6" s="4">
        <v>1</v>
      </c>
      <c r="D6" s="4">
        <v>1</v>
      </c>
      <c r="E6" s="4">
        <v>1</v>
      </c>
      <c r="F6" s="4">
        <v>2.2083332538604736</v>
      </c>
      <c r="I6" s="16" t="s">
        <v>38</v>
      </c>
      <c r="J6" s="16" t="s">
        <v>59</v>
      </c>
    </row>
    <row r="7" spans="1:10" ht="28.8" x14ac:dyDescent="0.3">
      <c r="A7" t="s">
        <v>39</v>
      </c>
      <c r="B7" s="4">
        <v>6.0000000000000009</v>
      </c>
      <c r="C7" s="4">
        <v>6</v>
      </c>
      <c r="D7" s="4">
        <v>6</v>
      </c>
      <c r="E7" s="4">
        <v>5.9999999999999991</v>
      </c>
      <c r="F7" s="4">
        <v>4.5283018867924536</v>
      </c>
      <c r="I7" s="16" t="s">
        <v>39</v>
      </c>
      <c r="J7" s="16" t="s">
        <v>60</v>
      </c>
    </row>
    <row r="8" spans="1:10" x14ac:dyDescent="0.3">
      <c r="A8" t="s">
        <v>40</v>
      </c>
      <c r="B8" s="4">
        <v>43.30016393442623</v>
      </c>
      <c r="C8" s="4">
        <v>51.420389610389606</v>
      </c>
      <c r="D8" s="4">
        <v>53.055543478260859</v>
      </c>
      <c r="E8" s="4">
        <v>42.862500000000004</v>
      </c>
      <c r="F8" s="4">
        <v>52.268113207547181</v>
      </c>
      <c r="I8" s="16" t="s">
        <v>40</v>
      </c>
      <c r="J8" s="16" t="s">
        <v>61</v>
      </c>
    </row>
    <row r="9" spans="1:10" x14ac:dyDescent="0.3">
      <c r="A9" t="s">
        <v>15</v>
      </c>
      <c r="B9" s="4">
        <v>70.044000000000011</v>
      </c>
      <c r="C9" s="4">
        <v>72.715384615384608</v>
      </c>
      <c r="D9" s="4">
        <v>81.382999999999996</v>
      </c>
      <c r="E9" s="4">
        <v>48.25</v>
      </c>
      <c r="F9" s="4"/>
      <c r="I9" s="16" t="s">
        <v>15</v>
      </c>
      <c r="J9" s="16" t="s">
        <v>62</v>
      </c>
    </row>
    <row r="10" spans="1:10" x14ac:dyDescent="0.3">
      <c r="A10" t="s">
        <v>13</v>
      </c>
      <c r="B10" s="4">
        <v>50.295082092285156</v>
      </c>
      <c r="C10" s="4">
        <v>38.168830871582031</v>
      </c>
      <c r="D10" s="4">
        <v>41.663043975830078</v>
      </c>
      <c r="E10" s="4">
        <v>47.473682403564453</v>
      </c>
      <c r="F10" s="4">
        <v>40.433963775634766</v>
      </c>
      <c r="I10" s="16" t="s">
        <v>13</v>
      </c>
      <c r="J10" s="16" t="s">
        <v>63</v>
      </c>
    </row>
    <row r="11" spans="1:10" x14ac:dyDescent="0.3">
      <c r="A11" t="s">
        <v>14</v>
      </c>
      <c r="B11" s="4">
        <v>21.68852424621582</v>
      </c>
      <c r="C11" s="4">
        <v>4.2077922821044922</v>
      </c>
      <c r="D11" s="4">
        <v>9.2934780120849609</v>
      </c>
      <c r="E11" s="4">
        <v>18.026315689086914</v>
      </c>
      <c r="F11" s="4">
        <v>10.924528121948242</v>
      </c>
      <c r="I11" s="16" t="s">
        <v>14</v>
      </c>
      <c r="J11" s="16" t="s">
        <v>64</v>
      </c>
    </row>
    <row r="12" spans="1:10" ht="43.2" x14ac:dyDescent="0.3">
      <c r="A12" t="s">
        <v>41</v>
      </c>
      <c r="B12" s="2">
        <v>0.2</v>
      </c>
      <c r="C12" s="2">
        <v>0.7</v>
      </c>
      <c r="D12" s="2">
        <v>0.75</v>
      </c>
      <c r="E12" s="2">
        <v>0.2</v>
      </c>
      <c r="F12" s="2">
        <v>0.25</v>
      </c>
      <c r="I12" s="16" t="s">
        <v>41</v>
      </c>
      <c r="J12" s="16" t="s">
        <v>65</v>
      </c>
    </row>
    <row r="13" spans="1:10" ht="28.8" x14ac:dyDescent="0.3">
      <c r="A13" t="s">
        <v>42</v>
      </c>
      <c r="B13" s="4">
        <v>45</v>
      </c>
      <c r="C13" s="4">
        <v>54</v>
      </c>
      <c r="D13" s="4">
        <v>41</v>
      </c>
      <c r="E13" s="4">
        <v>50</v>
      </c>
      <c r="F13" s="4">
        <v>45</v>
      </c>
      <c r="I13" s="16" t="s">
        <v>42</v>
      </c>
      <c r="J13" s="16" t="s">
        <v>66</v>
      </c>
    </row>
    <row r="14" spans="1:10" ht="28.8" x14ac:dyDescent="0.3">
      <c r="A14" t="s">
        <v>43</v>
      </c>
      <c r="B14" s="4">
        <v>8</v>
      </c>
      <c r="C14" s="4">
        <v>11</v>
      </c>
      <c r="D14" s="4">
        <v>11</v>
      </c>
      <c r="E14" s="4">
        <v>1</v>
      </c>
      <c r="F14" s="4">
        <v>5</v>
      </c>
      <c r="I14" s="16" t="s">
        <v>43</v>
      </c>
      <c r="J14" s="16" t="s">
        <v>67</v>
      </c>
    </row>
    <row r="15" spans="1:10" ht="28.8" x14ac:dyDescent="0.3">
      <c r="A15" t="s">
        <v>44</v>
      </c>
      <c r="B15" s="4">
        <v>18</v>
      </c>
      <c r="C15" s="4">
        <v>36</v>
      </c>
      <c r="D15" s="4">
        <v>19</v>
      </c>
      <c r="E15" s="4">
        <v>23</v>
      </c>
      <c r="F15" s="4">
        <v>25</v>
      </c>
      <c r="I15" s="16" t="s">
        <v>44</v>
      </c>
      <c r="J15" s="16" t="s">
        <v>68</v>
      </c>
    </row>
    <row r="16" spans="1:10" ht="28.8" x14ac:dyDescent="0.3">
      <c r="A16" t="s">
        <v>45</v>
      </c>
      <c r="B16" s="4">
        <v>0</v>
      </c>
      <c r="C16" s="4">
        <v>1</v>
      </c>
      <c r="D16" s="4">
        <v>1</v>
      </c>
      <c r="E16" s="4">
        <v>0</v>
      </c>
      <c r="F16" s="4">
        <v>0</v>
      </c>
      <c r="I16" s="16" t="s">
        <v>45</v>
      </c>
      <c r="J16" s="16" t="s">
        <v>69</v>
      </c>
    </row>
    <row r="17" spans="1:10" ht="28.8" x14ac:dyDescent="0.3">
      <c r="A17" t="s">
        <v>46</v>
      </c>
      <c r="B17" s="4">
        <v>1</v>
      </c>
      <c r="C17" s="4">
        <v>1</v>
      </c>
      <c r="D17" s="4">
        <v>1</v>
      </c>
      <c r="E17" s="4">
        <v>0</v>
      </c>
      <c r="F17" s="4">
        <v>0</v>
      </c>
      <c r="I17" s="16" t="s">
        <v>46</v>
      </c>
      <c r="J17" s="16" t="s">
        <v>70</v>
      </c>
    </row>
    <row r="18" spans="1:10" x14ac:dyDescent="0.3">
      <c r="A18" t="s">
        <v>7</v>
      </c>
      <c r="B18" s="4">
        <v>9</v>
      </c>
      <c r="C18" s="4">
        <v>8</v>
      </c>
      <c r="D18" s="4">
        <v>7</v>
      </c>
      <c r="E18" s="4">
        <v>7</v>
      </c>
      <c r="F18" s="4">
        <v>6</v>
      </c>
      <c r="I18" s="16" t="s">
        <v>7</v>
      </c>
      <c r="J18" s="16" t="s">
        <v>71</v>
      </c>
    </row>
    <row r="19" spans="1:10" x14ac:dyDescent="0.3">
      <c r="A19" t="s">
        <v>8</v>
      </c>
      <c r="B19" s="4">
        <v>1</v>
      </c>
      <c r="C19" s="4">
        <v>0</v>
      </c>
      <c r="D19" s="4">
        <v>1</v>
      </c>
      <c r="E19" s="4">
        <v>1</v>
      </c>
      <c r="F19" s="4">
        <v>1</v>
      </c>
      <c r="I19" s="16" t="s">
        <v>8</v>
      </c>
      <c r="J19" s="16" t="s">
        <v>72</v>
      </c>
    </row>
    <row r="20" spans="1:10" x14ac:dyDescent="0.3">
      <c r="A20" t="s">
        <v>47</v>
      </c>
      <c r="B20" s="7">
        <v>0.75383687019348145</v>
      </c>
      <c r="C20" s="7">
        <v>-0.10865158587694168</v>
      </c>
      <c r="D20" s="7">
        <v>0.38359019160270691</v>
      </c>
      <c r="E20" s="7">
        <v>0.38359019160270691</v>
      </c>
      <c r="F20" s="7">
        <v>0.19846686720848083</v>
      </c>
      <c r="I20" s="16" t="s">
        <v>47</v>
      </c>
      <c r="J20" s="16" t="s">
        <v>73</v>
      </c>
    </row>
    <row r="21" spans="1:10" x14ac:dyDescent="0.3">
      <c r="A21" t="s">
        <v>19</v>
      </c>
      <c r="B21" s="4">
        <v>35</v>
      </c>
      <c r="C21" s="4">
        <v>44</v>
      </c>
      <c r="D21" s="4">
        <v>52</v>
      </c>
      <c r="E21" s="4">
        <v>29</v>
      </c>
      <c r="F21" s="4">
        <v>46</v>
      </c>
      <c r="I21" s="16" t="s">
        <v>19</v>
      </c>
      <c r="J21" s="16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B60EA-739A-48D7-81E7-46BEEF77B12D}">
  <dimension ref="A1:E26"/>
  <sheetViews>
    <sheetView topLeftCell="A5" zoomScaleNormal="100" workbookViewId="0">
      <selection sqref="A1:C24"/>
    </sheetView>
  </sheetViews>
  <sheetFormatPr baseColWidth="10" defaultRowHeight="14.4" x14ac:dyDescent="0.3"/>
  <cols>
    <col min="1" max="1" width="29" bestFit="1" customWidth="1"/>
    <col min="2" max="2" width="22.33203125" bestFit="1" customWidth="1"/>
    <col min="3" max="3" width="3.33203125" customWidth="1"/>
    <col min="4" max="4" width="22.5546875" customWidth="1"/>
    <col min="5" max="5" width="25.88671875" customWidth="1"/>
  </cols>
  <sheetData>
    <row r="1" spans="1:5" x14ac:dyDescent="0.3">
      <c r="A1" t="s">
        <v>0</v>
      </c>
      <c r="B1" s="1" t="s">
        <v>112</v>
      </c>
      <c r="D1" s="17" t="s">
        <v>54</v>
      </c>
      <c r="E1" s="17" t="s">
        <v>87</v>
      </c>
    </row>
    <row r="2" spans="1:5" x14ac:dyDescent="0.3">
      <c r="A2" s="5" t="s">
        <v>69</v>
      </c>
      <c r="B2" s="18">
        <v>2.9250896965085153E-2</v>
      </c>
      <c r="D2" s="5" t="s">
        <v>45</v>
      </c>
      <c r="E2" s="5" t="s">
        <v>69</v>
      </c>
    </row>
    <row r="3" spans="1:5" x14ac:dyDescent="0.3">
      <c r="A3" s="5" t="s">
        <v>88</v>
      </c>
      <c r="B3" s="18">
        <v>0.11308055883843512</v>
      </c>
      <c r="D3" s="5" t="s">
        <v>46</v>
      </c>
      <c r="E3" s="5" t="s">
        <v>88</v>
      </c>
    </row>
    <row r="4" spans="1:5" x14ac:dyDescent="0.3">
      <c r="A4" s="5" t="s">
        <v>89</v>
      </c>
      <c r="B4" s="18">
        <v>0.20785040154695528</v>
      </c>
      <c r="D4" s="5" t="s">
        <v>7</v>
      </c>
      <c r="E4" s="5" t="s">
        <v>89</v>
      </c>
    </row>
    <row r="5" spans="1:5" x14ac:dyDescent="0.3">
      <c r="A5" s="5" t="s">
        <v>90</v>
      </c>
      <c r="B5" s="18">
        <v>0.16819265754924007</v>
      </c>
      <c r="D5" s="5" t="s">
        <v>8</v>
      </c>
      <c r="E5" s="5" t="s">
        <v>90</v>
      </c>
    </row>
    <row r="6" spans="1:5" x14ac:dyDescent="0.3">
      <c r="A6" s="5" t="s">
        <v>91</v>
      </c>
      <c r="B6" s="18">
        <v>1.5646193978010779E-2</v>
      </c>
      <c r="D6" s="5" t="s">
        <v>39</v>
      </c>
      <c r="E6" s="5" t="s">
        <v>91</v>
      </c>
    </row>
    <row r="7" spans="1:5" x14ac:dyDescent="0.3">
      <c r="A7" s="5" t="s">
        <v>48</v>
      </c>
      <c r="B7" s="18">
        <v>0.41137667560372121</v>
      </c>
      <c r="C7" t="s">
        <v>109</v>
      </c>
      <c r="D7" s="5"/>
      <c r="E7" s="5"/>
    </row>
    <row r="8" spans="1:5" x14ac:dyDescent="0.3">
      <c r="A8" s="5" t="s">
        <v>92</v>
      </c>
      <c r="B8" s="18">
        <v>-0.26856632724128338</v>
      </c>
      <c r="D8" s="5" t="s">
        <v>9</v>
      </c>
      <c r="E8" s="5" t="s">
        <v>92</v>
      </c>
    </row>
    <row r="9" spans="1:5" x14ac:dyDescent="0.3">
      <c r="A9" s="5" t="s">
        <v>93</v>
      </c>
      <c r="B9" s="18">
        <v>-0.22922795323750231</v>
      </c>
      <c r="D9" s="5" t="s">
        <v>10</v>
      </c>
      <c r="E9" s="5" t="s">
        <v>93</v>
      </c>
    </row>
    <row r="10" spans="1:5" x14ac:dyDescent="0.3">
      <c r="A10" s="5" t="s">
        <v>110</v>
      </c>
      <c r="B10" s="18">
        <v>0.13483997249264834</v>
      </c>
      <c r="D10" s="5" t="s">
        <v>11</v>
      </c>
      <c r="E10" s="5" t="s">
        <v>94</v>
      </c>
    </row>
    <row r="11" spans="1:5" x14ac:dyDescent="0.3">
      <c r="A11" s="5" t="s">
        <v>111</v>
      </c>
      <c r="B11" s="18">
        <v>-0.39798876354801732</v>
      </c>
      <c r="C11" t="s">
        <v>109</v>
      </c>
      <c r="D11" s="5" t="s">
        <v>37</v>
      </c>
      <c r="E11" s="5" t="s">
        <v>95</v>
      </c>
    </row>
    <row r="12" spans="1:5" x14ac:dyDescent="0.3">
      <c r="A12" s="5" t="s">
        <v>96</v>
      </c>
      <c r="B12" s="18">
        <v>1.203312523290823E-2</v>
      </c>
      <c r="D12" s="5" t="s">
        <v>38</v>
      </c>
      <c r="E12" s="5" t="s">
        <v>96</v>
      </c>
    </row>
    <row r="13" spans="1:5" x14ac:dyDescent="0.3">
      <c r="A13" s="5" t="s">
        <v>97</v>
      </c>
      <c r="B13" s="18">
        <v>-8.3907357422875126E-2</v>
      </c>
      <c r="D13" s="5" t="s">
        <v>12</v>
      </c>
      <c r="E13" s="5" t="s">
        <v>97</v>
      </c>
    </row>
    <row r="14" spans="1:5" x14ac:dyDescent="0.3">
      <c r="A14" s="5" t="s">
        <v>100</v>
      </c>
      <c r="B14" s="18">
        <v>-0.23194335194003304</v>
      </c>
      <c r="D14" s="5"/>
      <c r="E14" s="5"/>
    </row>
    <row r="15" spans="1:5" x14ac:dyDescent="0.3">
      <c r="A15" s="5" t="s">
        <v>98</v>
      </c>
      <c r="B15" s="18">
        <v>0.1682915199377874</v>
      </c>
      <c r="D15" s="5" t="s">
        <v>13</v>
      </c>
      <c r="E15" s="5" t="s">
        <v>98</v>
      </c>
    </row>
    <row r="16" spans="1:5" x14ac:dyDescent="0.3">
      <c r="A16" s="5" t="s">
        <v>99</v>
      </c>
      <c r="B16" s="18">
        <v>4.6171117646263179E-2</v>
      </c>
      <c r="D16" s="5" t="s">
        <v>14</v>
      </c>
      <c r="E16" s="5" t="s">
        <v>99</v>
      </c>
    </row>
    <row r="17" spans="1:5" x14ac:dyDescent="0.3">
      <c r="A17" s="5" t="s">
        <v>102</v>
      </c>
      <c r="B17" s="18">
        <v>5.5839715072117706E-2</v>
      </c>
      <c r="D17" s="5" t="s">
        <v>15</v>
      </c>
      <c r="E17" s="5" t="s">
        <v>100</v>
      </c>
    </row>
    <row r="18" spans="1:5" x14ac:dyDescent="0.3">
      <c r="A18" s="5" t="s">
        <v>101</v>
      </c>
      <c r="B18" s="18">
        <v>-0.16565008709021214</v>
      </c>
      <c r="D18" s="5" t="s">
        <v>42</v>
      </c>
      <c r="E18" s="5" t="s">
        <v>101</v>
      </c>
    </row>
    <row r="19" spans="1:5" x14ac:dyDescent="0.3">
      <c r="A19" s="5" t="s">
        <v>103</v>
      </c>
      <c r="B19" s="18">
        <v>0.11515191229971225</v>
      </c>
      <c r="D19" s="5" t="s">
        <v>43</v>
      </c>
      <c r="E19" s="5" t="s">
        <v>103</v>
      </c>
    </row>
    <row r="20" spans="1:5" x14ac:dyDescent="0.3">
      <c r="A20" s="5" t="s">
        <v>104</v>
      </c>
      <c r="B20" s="18">
        <v>7.2781294181890319E-2</v>
      </c>
      <c r="D20" s="5" t="s">
        <v>44</v>
      </c>
      <c r="E20" s="5" t="s">
        <v>104</v>
      </c>
    </row>
    <row r="21" spans="1:5" x14ac:dyDescent="0.3">
      <c r="A21" s="5" t="s">
        <v>105</v>
      </c>
      <c r="B21" s="18">
        <v>7.7742884201424126E-2</v>
      </c>
      <c r="D21" s="5" t="s">
        <v>16</v>
      </c>
      <c r="E21" s="5" t="s">
        <v>105</v>
      </c>
    </row>
    <row r="22" spans="1:5" x14ac:dyDescent="0.3">
      <c r="A22" s="5" t="s">
        <v>106</v>
      </c>
      <c r="B22" s="18">
        <v>0.15310636316482243</v>
      </c>
      <c r="D22" s="5" t="s">
        <v>18</v>
      </c>
      <c r="E22" s="5" t="s">
        <v>106</v>
      </c>
    </row>
    <row r="23" spans="1:5" x14ac:dyDescent="0.3">
      <c r="A23" s="5" t="s">
        <v>107</v>
      </c>
      <c r="B23" s="18">
        <v>-0.17987198343476105</v>
      </c>
      <c r="D23" s="5" t="s">
        <v>19</v>
      </c>
      <c r="E23" s="5" t="s">
        <v>107</v>
      </c>
    </row>
    <row r="24" spans="1:5" x14ac:dyDescent="0.3">
      <c r="A24" s="5" t="s">
        <v>108</v>
      </c>
      <c r="B24" s="18">
        <v>0.25481348872553333</v>
      </c>
      <c r="D24" s="5" t="s">
        <v>47</v>
      </c>
      <c r="E24" s="5" t="s">
        <v>108</v>
      </c>
    </row>
    <row r="25" spans="1:5" x14ac:dyDescent="0.3">
      <c r="B25" s="18"/>
    </row>
    <row r="26" spans="1:5" x14ac:dyDescent="0.3">
      <c r="B26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B89D-367C-440E-8327-68F2ECB0E7D2}">
  <dimension ref="A1:K33"/>
  <sheetViews>
    <sheetView tabSelected="1" topLeftCell="A11" workbookViewId="0">
      <selection activeCell="B4" sqref="B4:E33"/>
    </sheetView>
  </sheetViews>
  <sheetFormatPr baseColWidth="10" defaultRowHeight="14.4" x14ac:dyDescent="0.3"/>
  <cols>
    <col min="6" max="6" width="32.109375" bestFit="1" customWidth="1"/>
  </cols>
  <sheetData>
    <row r="1" spans="1:11" x14ac:dyDescent="0.3">
      <c r="A1" t="s">
        <v>114</v>
      </c>
    </row>
    <row r="3" spans="1:11" x14ac:dyDescent="0.3">
      <c r="A3" t="s">
        <v>0</v>
      </c>
      <c r="B3" t="s">
        <v>119</v>
      </c>
      <c r="C3" t="s">
        <v>120</v>
      </c>
      <c r="D3" t="s">
        <v>153</v>
      </c>
      <c r="E3" t="s">
        <v>115</v>
      </c>
    </row>
    <row r="4" spans="1:11" x14ac:dyDescent="0.3">
      <c r="A4" t="s">
        <v>45</v>
      </c>
      <c r="B4" s="21">
        <v>0.5</v>
      </c>
      <c r="C4" s="21">
        <v>0.5</v>
      </c>
      <c r="D4" s="21">
        <v>0</v>
      </c>
      <c r="E4" s="21">
        <v>1</v>
      </c>
      <c r="F4" s="5" t="s">
        <v>156</v>
      </c>
      <c r="H4" s="2"/>
      <c r="I4" s="2"/>
      <c r="J4" s="2"/>
      <c r="K4" s="2"/>
    </row>
    <row r="5" spans="1:11" x14ac:dyDescent="0.3">
      <c r="A5" t="s">
        <v>46</v>
      </c>
      <c r="B5" s="21">
        <v>0.5</v>
      </c>
      <c r="C5" s="21">
        <v>0.75</v>
      </c>
      <c r="D5" s="21">
        <v>0.46291005611419678</v>
      </c>
      <c r="E5" s="21">
        <v>0.53696334362030029</v>
      </c>
      <c r="F5" s="5" t="s">
        <v>157</v>
      </c>
      <c r="H5" s="2"/>
      <c r="I5" s="2"/>
      <c r="J5" s="2"/>
      <c r="K5" s="2"/>
    </row>
    <row r="6" spans="1:11" x14ac:dyDescent="0.3">
      <c r="A6" t="s">
        <v>5</v>
      </c>
      <c r="B6" s="21">
        <v>0.75</v>
      </c>
      <c r="C6" s="21">
        <v>1</v>
      </c>
      <c r="D6" s="21">
        <v>0.70710676908493042</v>
      </c>
      <c r="E6" s="21">
        <v>0.35591769218444824</v>
      </c>
      <c r="F6" s="5" t="s">
        <v>158</v>
      </c>
      <c r="H6" s="2"/>
      <c r="I6" s="2"/>
      <c r="J6" s="2"/>
      <c r="K6" s="2"/>
    </row>
    <row r="7" spans="1:11" x14ac:dyDescent="0.3">
      <c r="A7" t="s">
        <v>76</v>
      </c>
      <c r="B7" s="21">
        <v>1</v>
      </c>
      <c r="C7" s="21">
        <v>1</v>
      </c>
      <c r="D7" s="21"/>
      <c r="E7" s="21"/>
      <c r="F7" s="5" t="s">
        <v>159</v>
      </c>
      <c r="H7" s="2"/>
      <c r="I7" s="2"/>
      <c r="J7" s="2"/>
      <c r="K7" s="2"/>
    </row>
    <row r="8" spans="1:11" x14ac:dyDescent="0.3">
      <c r="A8" t="s">
        <v>6</v>
      </c>
      <c r="B8" s="21">
        <v>1</v>
      </c>
      <c r="C8" s="21">
        <v>1</v>
      </c>
      <c r="D8" s="21"/>
      <c r="E8" s="21"/>
      <c r="F8" s="5" t="s">
        <v>160</v>
      </c>
      <c r="H8" s="2"/>
      <c r="I8" s="2"/>
      <c r="J8" s="2"/>
      <c r="K8" s="2"/>
    </row>
    <row r="9" spans="1:11" x14ac:dyDescent="0.3">
      <c r="A9" t="s">
        <v>7</v>
      </c>
      <c r="B9" s="21">
        <v>6.25</v>
      </c>
      <c r="C9" s="21">
        <v>7.75</v>
      </c>
      <c r="D9" s="21">
        <v>0.63481104373931885</v>
      </c>
      <c r="E9" s="21">
        <v>0.40389791131019592</v>
      </c>
      <c r="F9" s="5" t="s">
        <v>89</v>
      </c>
      <c r="H9" s="2"/>
      <c r="I9" s="2"/>
      <c r="J9" s="2"/>
      <c r="K9" s="2"/>
    </row>
    <row r="10" spans="1:11" x14ac:dyDescent="0.3">
      <c r="A10" t="s">
        <v>8</v>
      </c>
      <c r="B10" s="21">
        <v>0.75</v>
      </c>
      <c r="C10" s="21">
        <v>0.75</v>
      </c>
      <c r="D10" s="21">
        <v>0</v>
      </c>
      <c r="E10" s="21">
        <v>1</v>
      </c>
      <c r="F10" s="5" t="s">
        <v>161</v>
      </c>
      <c r="H10" s="2"/>
      <c r="I10" s="2"/>
      <c r="J10" s="2"/>
      <c r="K10" s="2"/>
    </row>
    <row r="11" spans="1:11" x14ac:dyDescent="0.3">
      <c r="A11" t="s">
        <v>39</v>
      </c>
      <c r="B11" s="21">
        <v>5.4466290473937988</v>
      </c>
      <c r="C11" s="21">
        <v>6</v>
      </c>
      <c r="D11" s="21">
        <v>0.21792933344841003</v>
      </c>
      <c r="E11" s="21">
        <v>0.76835060119628906</v>
      </c>
      <c r="F11" s="5" t="s">
        <v>91</v>
      </c>
      <c r="H11" s="2"/>
      <c r="I11" s="2"/>
      <c r="J11" s="2"/>
      <c r="K11" s="2"/>
    </row>
    <row r="12" spans="1:11" x14ac:dyDescent="0.3">
      <c r="A12" t="s">
        <v>9</v>
      </c>
      <c r="B12" s="21">
        <v>0.25</v>
      </c>
      <c r="C12" s="21">
        <v>0</v>
      </c>
      <c r="D12" s="21">
        <v>-0.70710676908493042</v>
      </c>
      <c r="E12" s="21">
        <v>0.35591769218444824</v>
      </c>
      <c r="F12" s="5" t="s">
        <v>162</v>
      </c>
      <c r="H12" s="2"/>
      <c r="I12" s="2"/>
      <c r="J12" s="2"/>
      <c r="K12" s="2"/>
    </row>
    <row r="13" spans="1:11" x14ac:dyDescent="0.3">
      <c r="A13" t="s">
        <v>10</v>
      </c>
      <c r="B13" s="21">
        <v>1</v>
      </c>
      <c r="C13" s="21">
        <v>1</v>
      </c>
      <c r="D13" s="21"/>
      <c r="E13" s="21"/>
      <c r="F13" s="5" t="s">
        <v>163</v>
      </c>
      <c r="H13" s="2"/>
      <c r="I13" s="2"/>
      <c r="J13" s="2"/>
      <c r="K13" s="2"/>
    </row>
    <row r="14" spans="1:11" x14ac:dyDescent="0.3">
      <c r="A14" t="s">
        <v>11</v>
      </c>
      <c r="B14" s="21">
        <v>1</v>
      </c>
      <c r="C14" s="21">
        <v>1</v>
      </c>
      <c r="D14" s="21"/>
      <c r="E14" s="21"/>
      <c r="F14" s="5" t="s">
        <v>164</v>
      </c>
      <c r="H14" s="2"/>
      <c r="I14" s="2"/>
      <c r="J14" s="2"/>
      <c r="K14" s="2"/>
    </row>
    <row r="15" spans="1:11" x14ac:dyDescent="0.3">
      <c r="A15" t="s">
        <v>116</v>
      </c>
      <c r="B15" s="21">
        <v>0</v>
      </c>
      <c r="C15" s="21">
        <v>0</v>
      </c>
      <c r="D15" s="21"/>
      <c r="E15" s="21"/>
      <c r="F15" s="5" t="s">
        <v>165</v>
      </c>
      <c r="H15" s="2"/>
      <c r="I15" s="2"/>
      <c r="J15" s="2"/>
      <c r="K15" s="2"/>
    </row>
    <row r="16" spans="1:11" x14ac:dyDescent="0.3">
      <c r="A16" t="s">
        <v>35</v>
      </c>
      <c r="B16" s="21">
        <v>89.897270202636719</v>
      </c>
      <c r="C16" s="21">
        <v>84.009117126464844</v>
      </c>
      <c r="D16" s="21">
        <v>-0.10932287573814392</v>
      </c>
      <c r="E16" s="21">
        <v>0.88220161199569702</v>
      </c>
      <c r="F16" s="5" t="s">
        <v>166</v>
      </c>
      <c r="H16" s="2"/>
      <c r="I16" s="2"/>
      <c r="J16" s="2"/>
      <c r="K16" s="2"/>
    </row>
    <row r="17" spans="1:11" x14ac:dyDescent="0.3">
      <c r="A17" t="s">
        <v>36</v>
      </c>
      <c r="B17" s="21">
        <v>6.3398876190185547</v>
      </c>
      <c r="C17" s="21">
        <v>6</v>
      </c>
      <c r="D17" s="21">
        <v>-8.955790102481842E-2</v>
      </c>
      <c r="E17" s="21">
        <v>0.90335202217102051</v>
      </c>
      <c r="F17" s="5" t="s">
        <v>167</v>
      </c>
      <c r="H17" s="2"/>
      <c r="I17" s="2"/>
      <c r="J17" s="2"/>
      <c r="K17" s="2"/>
    </row>
    <row r="18" spans="1:11" x14ac:dyDescent="0.3">
      <c r="A18" t="s">
        <v>37</v>
      </c>
      <c r="B18" s="21">
        <v>15.525744438171387</v>
      </c>
      <c r="C18" s="21">
        <v>14.001519203186035</v>
      </c>
      <c r="D18" s="21">
        <v>-0.6071321964263916</v>
      </c>
      <c r="E18" s="21">
        <v>0.42352187633514404</v>
      </c>
      <c r="F18" s="5" t="s">
        <v>95</v>
      </c>
      <c r="H18" s="2"/>
      <c r="I18" s="2"/>
      <c r="J18" s="2"/>
      <c r="K18" s="2"/>
    </row>
    <row r="19" spans="1:11" x14ac:dyDescent="0.3">
      <c r="A19" t="s">
        <v>38</v>
      </c>
      <c r="B19" s="21">
        <v>1.0828125476837158</v>
      </c>
      <c r="C19" s="21">
        <v>1</v>
      </c>
      <c r="D19" s="21">
        <v>-0.70710676908493042</v>
      </c>
      <c r="E19" s="21">
        <v>0.35591769218444824</v>
      </c>
      <c r="F19" s="5" t="s">
        <v>168</v>
      </c>
      <c r="H19" s="2"/>
      <c r="I19" s="2"/>
      <c r="J19" s="2"/>
      <c r="K19" s="2"/>
    </row>
    <row r="20" spans="1:11" x14ac:dyDescent="0.3">
      <c r="A20" t="s">
        <v>117</v>
      </c>
      <c r="B20" s="21">
        <v>-0.22021116316318512</v>
      </c>
      <c r="C20" s="21">
        <v>-0.23312045633792877</v>
      </c>
      <c r="D20" s="21">
        <v>-0.22515636682510376</v>
      </c>
      <c r="E20" s="21">
        <v>0.76095914840698242</v>
      </c>
      <c r="F20" s="5" t="s">
        <v>169</v>
      </c>
      <c r="H20" s="2"/>
      <c r="I20" s="2"/>
      <c r="J20" s="2"/>
      <c r="K20" s="2"/>
    </row>
    <row r="21" spans="1:11" x14ac:dyDescent="0.3">
      <c r="A21" t="s">
        <v>118</v>
      </c>
      <c r="B21" s="21">
        <v>-0.17166900634765625</v>
      </c>
      <c r="C21" s="21">
        <v>-0.18368092179298401</v>
      </c>
      <c r="D21" s="21">
        <v>-0.27457857131958008</v>
      </c>
      <c r="E21" s="21">
        <v>0.71118873357772827</v>
      </c>
      <c r="F21" s="5" t="s">
        <v>170</v>
      </c>
      <c r="H21" s="2"/>
      <c r="I21" s="2"/>
      <c r="J21" s="2"/>
      <c r="K21" s="2"/>
    </row>
    <row r="22" spans="1:11" x14ac:dyDescent="0.3">
      <c r="A22" t="s">
        <v>12</v>
      </c>
      <c r="B22" s="21">
        <v>51.475059509277344</v>
      </c>
      <c r="C22" s="21">
        <v>47.659648895263672</v>
      </c>
      <c r="D22" s="21">
        <v>-0.63734596967697144</v>
      </c>
      <c r="E22" s="21">
        <v>0.40213552117347717</v>
      </c>
      <c r="F22" s="5" t="s">
        <v>171</v>
      </c>
      <c r="H22" s="2"/>
      <c r="I22" s="2"/>
      <c r="J22" s="2"/>
      <c r="K22" s="2"/>
    </row>
    <row r="23" spans="1:11" x14ac:dyDescent="0.3">
      <c r="A23" t="s">
        <v>13</v>
      </c>
      <c r="B23" s="21">
        <v>41.0931396484375</v>
      </c>
      <c r="C23" s="21">
        <v>44.400161743164063</v>
      </c>
      <c r="D23" s="21">
        <v>0.63829326629638672</v>
      </c>
      <c r="E23" s="21">
        <v>0.40147843956947327</v>
      </c>
      <c r="F23" s="5" t="s">
        <v>98</v>
      </c>
      <c r="H23" s="2"/>
      <c r="I23" s="2"/>
      <c r="J23" s="2"/>
      <c r="K23" s="2"/>
    </row>
    <row r="24" spans="1:11" x14ac:dyDescent="0.3">
      <c r="A24" t="s">
        <v>14</v>
      </c>
      <c r="B24" s="21">
        <v>14.684515953063965</v>
      </c>
      <c r="C24" s="21">
        <v>13.304027557373047</v>
      </c>
      <c r="D24" s="21">
        <v>-0.19784480333328247</v>
      </c>
      <c r="E24" s="21">
        <v>0.78903043270111084</v>
      </c>
      <c r="F24" s="5" t="s">
        <v>172</v>
      </c>
      <c r="H24" s="2"/>
      <c r="I24" s="2"/>
      <c r="J24" s="2"/>
      <c r="K24" s="2"/>
    </row>
    <row r="25" spans="1:11" x14ac:dyDescent="0.3">
      <c r="A25" t="s">
        <v>15</v>
      </c>
      <c r="B25" s="21">
        <v>69.45184326171875</v>
      </c>
      <c r="C25" s="21">
        <v>68.098098754882813</v>
      </c>
      <c r="D25" s="21">
        <v>-9.2055745422840118E-2</v>
      </c>
      <c r="E25" s="21">
        <v>0.90067392587661743</v>
      </c>
      <c r="F25" s="5" t="s">
        <v>173</v>
      </c>
      <c r="H25" s="2"/>
      <c r="I25" s="2"/>
      <c r="J25" s="2"/>
      <c r="K25" s="2"/>
    </row>
    <row r="26" spans="1:11" x14ac:dyDescent="0.3">
      <c r="A26" t="s">
        <v>42</v>
      </c>
      <c r="B26" s="21">
        <v>50.75</v>
      </c>
      <c r="C26" s="21">
        <v>47.5</v>
      </c>
      <c r="D26" s="21">
        <v>-0.63383221626281738</v>
      </c>
      <c r="E26" s="21">
        <v>0.40457999706268311</v>
      </c>
      <c r="F26" s="5" t="s">
        <v>101</v>
      </c>
      <c r="H26" s="2"/>
      <c r="I26" s="2"/>
      <c r="J26" s="2"/>
      <c r="K26" s="2"/>
    </row>
    <row r="27" spans="1:11" x14ac:dyDescent="0.3">
      <c r="A27" t="s">
        <v>41</v>
      </c>
      <c r="B27" s="21">
        <v>0.51499998569488525</v>
      </c>
      <c r="C27" s="21">
        <v>0.46250000596046448</v>
      </c>
      <c r="D27" s="21">
        <v>-0.17962063848972321</v>
      </c>
      <c r="E27" s="21">
        <v>0.80795973539352417</v>
      </c>
      <c r="F27" s="5" t="s">
        <v>102</v>
      </c>
      <c r="H27" s="2"/>
      <c r="I27" s="2"/>
      <c r="J27" s="2"/>
      <c r="K27" s="2"/>
    </row>
    <row r="28" spans="1:11" x14ac:dyDescent="0.3">
      <c r="A28" t="s">
        <v>43</v>
      </c>
      <c r="B28" s="21">
        <v>4.125</v>
      </c>
      <c r="C28" s="21">
        <v>7.75</v>
      </c>
      <c r="D28" s="21">
        <v>0.78832900524139404</v>
      </c>
      <c r="E28" s="21">
        <v>0.30756130814552307</v>
      </c>
      <c r="F28" s="5" t="s">
        <v>174</v>
      </c>
      <c r="H28" s="2"/>
      <c r="I28" s="2"/>
      <c r="J28" s="2"/>
      <c r="K28" s="2"/>
    </row>
    <row r="29" spans="1:11" x14ac:dyDescent="0.3">
      <c r="A29" t="s">
        <v>44</v>
      </c>
      <c r="B29" s="21">
        <v>26.104166030883789</v>
      </c>
      <c r="C29" s="21">
        <v>24</v>
      </c>
      <c r="D29" s="21">
        <v>-0.27946865558624268</v>
      </c>
      <c r="E29" s="21">
        <v>0.70634293556213379</v>
      </c>
      <c r="F29" s="5" t="s">
        <v>175</v>
      </c>
      <c r="H29" s="2"/>
      <c r="I29" s="2"/>
      <c r="J29" s="2"/>
      <c r="K29" s="2"/>
    </row>
    <row r="30" spans="1:11" x14ac:dyDescent="0.3">
      <c r="A30" t="s">
        <v>16</v>
      </c>
      <c r="B30" s="21">
        <v>0.5</v>
      </c>
      <c r="C30" s="21">
        <v>0.75</v>
      </c>
      <c r="D30" s="21">
        <v>0.46291005611419678</v>
      </c>
      <c r="E30" s="21">
        <v>0.53696334362030029</v>
      </c>
      <c r="F30" s="5" t="s">
        <v>105</v>
      </c>
      <c r="H30" s="2"/>
      <c r="I30" s="2"/>
      <c r="J30" s="2"/>
      <c r="K30" s="2"/>
    </row>
    <row r="31" spans="1:11" x14ac:dyDescent="0.3">
      <c r="A31" t="s">
        <v>17</v>
      </c>
      <c r="B31" s="21">
        <v>1</v>
      </c>
      <c r="C31" s="21">
        <v>1</v>
      </c>
      <c r="D31" s="21"/>
      <c r="E31" s="21"/>
      <c r="F31" s="5" t="s">
        <v>176</v>
      </c>
      <c r="H31" s="2"/>
      <c r="I31" s="2"/>
      <c r="J31" s="2"/>
      <c r="K31" s="2"/>
    </row>
    <row r="32" spans="1:11" x14ac:dyDescent="0.3">
      <c r="A32" t="s">
        <v>18</v>
      </c>
      <c r="B32" s="21">
        <v>0.5</v>
      </c>
      <c r="C32" s="21">
        <v>0.25</v>
      </c>
      <c r="D32" s="21">
        <v>-0.46291005611419678</v>
      </c>
      <c r="E32" s="21">
        <v>0.53696334362030029</v>
      </c>
      <c r="F32" s="5" t="s">
        <v>106</v>
      </c>
      <c r="H32" s="2"/>
      <c r="I32" s="2"/>
      <c r="J32" s="2"/>
      <c r="K32" s="2"/>
    </row>
    <row r="33" spans="1:11" x14ac:dyDescent="0.3">
      <c r="A33" t="s">
        <v>19</v>
      </c>
      <c r="B33" s="21">
        <v>46.5</v>
      </c>
      <c r="C33" s="21">
        <v>40</v>
      </c>
      <c r="D33" s="21">
        <v>-0.67828649282455444</v>
      </c>
      <c r="E33" s="21">
        <v>0.37447938323020935</v>
      </c>
      <c r="F33" s="5" t="s">
        <v>177</v>
      </c>
      <c r="H33" s="2"/>
      <c r="I33" s="2"/>
      <c r="J33" s="2"/>
      <c r="K3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89B3-1543-425D-9E19-F3B5D7BD8731}">
  <dimension ref="A1:N63"/>
  <sheetViews>
    <sheetView topLeftCell="A38" workbookViewId="0">
      <selection activeCell="A15" sqref="A15:A44"/>
    </sheetView>
  </sheetViews>
  <sheetFormatPr baseColWidth="10" defaultRowHeight="14.4" x14ac:dyDescent="0.3"/>
  <cols>
    <col min="1" max="1" width="27.109375" style="14" customWidth="1"/>
    <col min="13" max="14" width="25.5546875" style="14" customWidth="1"/>
  </cols>
  <sheetData>
    <row r="1" spans="1:14" x14ac:dyDescent="0.3">
      <c r="A1" s="25" t="s">
        <v>178</v>
      </c>
    </row>
    <row r="2" spans="1:14" x14ac:dyDescent="0.3">
      <c r="A2" s="3" t="s">
        <v>121</v>
      </c>
      <c r="B2" s="1" t="s">
        <v>122</v>
      </c>
      <c r="C2" s="1" t="s">
        <v>123</v>
      </c>
      <c r="D2" s="1" t="s">
        <v>124</v>
      </c>
      <c r="E2" s="1" t="s">
        <v>125</v>
      </c>
      <c r="F2" s="1" t="s">
        <v>126</v>
      </c>
      <c r="G2" s="1" t="s">
        <v>127</v>
      </c>
      <c r="H2" s="1" t="s">
        <v>128</v>
      </c>
      <c r="I2" s="1" t="s">
        <v>129</v>
      </c>
    </row>
    <row r="3" spans="1:14" x14ac:dyDescent="0.3">
      <c r="A3" s="3" t="s">
        <v>130</v>
      </c>
      <c r="B3" s="1" t="s">
        <v>131</v>
      </c>
      <c r="C3" s="1" t="s">
        <v>132</v>
      </c>
      <c r="D3" s="1" t="s">
        <v>133</v>
      </c>
      <c r="E3" s="1" t="s">
        <v>134</v>
      </c>
      <c r="F3" s="1" t="s">
        <v>135</v>
      </c>
      <c r="G3" s="1" t="s">
        <v>136</v>
      </c>
      <c r="H3" s="1" t="s">
        <v>137</v>
      </c>
      <c r="I3" s="1">
        <v>0</v>
      </c>
    </row>
    <row r="4" spans="1:14" x14ac:dyDescent="0.3">
      <c r="A4" s="3" t="s">
        <v>138</v>
      </c>
      <c r="B4" s="1" t="s">
        <v>139</v>
      </c>
      <c r="C4" s="1" t="s">
        <v>140</v>
      </c>
      <c r="D4" s="1" t="s">
        <v>141</v>
      </c>
      <c r="E4" s="1" t="s">
        <v>142</v>
      </c>
      <c r="F4" s="1" t="s">
        <v>143</v>
      </c>
      <c r="G4" s="1" t="s">
        <v>144</v>
      </c>
      <c r="H4" s="1" t="s">
        <v>145</v>
      </c>
      <c r="I4" s="1">
        <v>0</v>
      </c>
    </row>
    <row r="7" spans="1:14" x14ac:dyDescent="0.3">
      <c r="B7" t="s">
        <v>146</v>
      </c>
      <c r="C7" t="s">
        <v>147</v>
      </c>
      <c r="D7" t="s">
        <v>148</v>
      </c>
    </row>
    <row r="9" spans="1:14" x14ac:dyDescent="0.3">
      <c r="A9" s="14" t="s">
        <v>149</v>
      </c>
      <c r="B9" t="s">
        <v>150</v>
      </c>
      <c r="C9">
        <v>3</v>
      </c>
      <c r="D9">
        <v>10</v>
      </c>
    </row>
    <row r="10" spans="1:14" x14ac:dyDescent="0.3">
      <c r="B10" t="s">
        <v>151</v>
      </c>
      <c r="C10">
        <v>4</v>
      </c>
      <c r="D10">
        <v>4</v>
      </c>
    </row>
    <row r="11" spans="1:14" x14ac:dyDescent="0.3">
      <c r="B11" t="s">
        <v>152</v>
      </c>
      <c r="C11">
        <v>10</v>
      </c>
      <c r="D11">
        <v>11</v>
      </c>
    </row>
    <row r="13" spans="1:14" x14ac:dyDescent="0.3">
      <c r="A13" s="24" t="s">
        <v>155</v>
      </c>
      <c r="G13" s="20" t="s">
        <v>154</v>
      </c>
    </row>
    <row r="14" spans="1:14" x14ac:dyDescent="0.3">
      <c r="A14" s="14" t="s">
        <v>0</v>
      </c>
      <c r="B14" t="s">
        <v>119</v>
      </c>
      <c r="C14" t="s">
        <v>120</v>
      </c>
      <c r="D14" t="s">
        <v>153</v>
      </c>
      <c r="E14" t="s">
        <v>115</v>
      </c>
      <c r="G14" t="s">
        <v>0</v>
      </c>
      <c r="H14" t="s">
        <v>119</v>
      </c>
      <c r="I14" t="s">
        <v>120</v>
      </c>
      <c r="J14" t="s">
        <v>153</v>
      </c>
      <c r="K14" t="s">
        <v>115</v>
      </c>
      <c r="M14" s="15"/>
      <c r="N14" s="15"/>
    </row>
    <row r="15" spans="1:14" ht="43.2" x14ac:dyDescent="0.3">
      <c r="A15" s="16" t="s">
        <v>156</v>
      </c>
      <c r="B15" s="2">
        <v>0.1666666716337204</v>
      </c>
      <c r="C15" s="2">
        <v>0.3333333432674408</v>
      </c>
      <c r="D15" s="22">
        <v>0.33850160241127014</v>
      </c>
      <c r="E15" s="2">
        <v>0.55272972583770752</v>
      </c>
      <c r="G15" s="16" t="s">
        <v>156</v>
      </c>
      <c r="H15" s="21">
        <v>0.25</v>
      </c>
      <c r="I15" s="21">
        <v>0.5</v>
      </c>
      <c r="J15" s="23">
        <v>0.46291005611419678</v>
      </c>
      <c r="K15" s="21">
        <v>0.53696334362030029</v>
      </c>
      <c r="M15" s="16"/>
      <c r="N15" s="16"/>
    </row>
    <row r="16" spans="1:14" ht="43.2" x14ac:dyDescent="0.3">
      <c r="A16" s="16" t="s">
        <v>157</v>
      </c>
      <c r="B16" s="2">
        <v>0.25</v>
      </c>
      <c r="C16" s="2">
        <v>0.66666668653488159</v>
      </c>
      <c r="D16" s="22">
        <v>0.80345499515533447</v>
      </c>
      <c r="E16" s="2">
        <v>0.19609610736370087</v>
      </c>
      <c r="G16" s="16" t="s">
        <v>157</v>
      </c>
      <c r="H16" s="21">
        <v>0.25</v>
      </c>
      <c r="I16" s="21">
        <v>0.75</v>
      </c>
      <c r="J16" s="23">
        <v>1</v>
      </c>
      <c r="K16" s="21">
        <v>0.20703125</v>
      </c>
      <c r="M16" s="16"/>
      <c r="N16" s="16"/>
    </row>
    <row r="17" spans="1:14" ht="28.8" x14ac:dyDescent="0.3">
      <c r="A17" s="16" t="s">
        <v>158</v>
      </c>
      <c r="B17" s="2">
        <v>0.91666668653488159</v>
      </c>
      <c r="C17" s="2">
        <v>1</v>
      </c>
      <c r="D17" s="22">
        <v>0.40824830532073975</v>
      </c>
      <c r="E17" s="2">
        <v>0.634937584400177</v>
      </c>
      <c r="G17" s="16" t="s">
        <v>158</v>
      </c>
      <c r="H17" s="21">
        <v>1</v>
      </c>
      <c r="I17" s="21">
        <v>1</v>
      </c>
      <c r="J17" s="23"/>
      <c r="K17" s="21"/>
      <c r="M17" s="16"/>
      <c r="N17" s="16"/>
    </row>
    <row r="18" spans="1:14" ht="43.2" x14ac:dyDescent="0.3">
      <c r="A18" s="16" t="s">
        <v>159</v>
      </c>
      <c r="B18" s="2">
        <v>1</v>
      </c>
      <c r="C18" s="2">
        <v>1</v>
      </c>
      <c r="D18" s="22"/>
      <c r="E18" s="2"/>
      <c r="G18" s="16" t="s">
        <v>159</v>
      </c>
      <c r="H18" s="21">
        <v>1</v>
      </c>
      <c r="I18" s="21">
        <v>1</v>
      </c>
      <c r="J18" s="23"/>
      <c r="K18" s="21"/>
      <c r="M18" s="16"/>
      <c r="N18" s="16"/>
    </row>
    <row r="19" spans="1:14" ht="28.8" x14ac:dyDescent="0.3">
      <c r="A19" s="16" t="s">
        <v>160</v>
      </c>
      <c r="B19" s="2">
        <v>1</v>
      </c>
      <c r="C19" s="2">
        <v>1</v>
      </c>
      <c r="D19" s="22"/>
      <c r="E19" s="2"/>
      <c r="G19" s="16" t="s">
        <v>160</v>
      </c>
      <c r="H19" s="21">
        <v>1</v>
      </c>
      <c r="I19" s="21">
        <v>1</v>
      </c>
      <c r="J19" s="23"/>
      <c r="K19" s="21"/>
      <c r="M19" s="16"/>
      <c r="N19" s="16"/>
    </row>
    <row r="20" spans="1:14" ht="28.8" x14ac:dyDescent="0.3">
      <c r="A20" s="16" t="s">
        <v>89</v>
      </c>
      <c r="B20" s="2">
        <v>6.8333334922790527</v>
      </c>
      <c r="C20" s="2">
        <v>8</v>
      </c>
      <c r="D20" s="22">
        <v>0.65095478296279907</v>
      </c>
      <c r="E20" s="2">
        <v>0.4216022789478302</v>
      </c>
      <c r="G20" s="16" t="s">
        <v>89</v>
      </c>
      <c r="H20" s="21">
        <v>6.5</v>
      </c>
      <c r="I20" s="21">
        <v>7.75</v>
      </c>
      <c r="J20" s="23">
        <v>1.0998533964157104</v>
      </c>
      <c r="K20" s="21">
        <v>0.17084439098834991</v>
      </c>
      <c r="M20" s="16"/>
      <c r="N20" s="16"/>
    </row>
    <row r="21" spans="1:14" ht="28.8" x14ac:dyDescent="0.3">
      <c r="A21" s="16" t="s">
        <v>161</v>
      </c>
      <c r="B21" s="2">
        <v>0.5</v>
      </c>
      <c r="C21" s="2">
        <v>0.66666668653488159</v>
      </c>
      <c r="D21" s="22">
        <v>0.30276504158973694</v>
      </c>
      <c r="E21" s="2">
        <v>0.634937584400177</v>
      </c>
      <c r="G21" s="16" t="s">
        <v>161</v>
      </c>
      <c r="H21" s="21">
        <v>0.25</v>
      </c>
      <c r="I21" s="21">
        <v>0.75</v>
      </c>
      <c r="J21" s="23">
        <v>1</v>
      </c>
      <c r="K21" s="21">
        <v>0.20703125</v>
      </c>
      <c r="M21" s="16"/>
      <c r="N21" s="16"/>
    </row>
    <row r="22" spans="1:14" ht="28.8" x14ac:dyDescent="0.3">
      <c r="A22" s="16" t="s">
        <v>91</v>
      </c>
      <c r="B22" s="2">
        <v>5.4021444320678711</v>
      </c>
      <c r="C22" s="2">
        <v>6</v>
      </c>
      <c r="D22" s="22">
        <v>0.33442676067352295</v>
      </c>
      <c r="E22" s="2">
        <v>0.69690191745758057</v>
      </c>
      <c r="G22" s="16" t="s">
        <v>91</v>
      </c>
      <c r="H22" s="21">
        <v>5</v>
      </c>
      <c r="I22" s="21">
        <v>6</v>
      </c>
      <c r="J22" s="23">
        <v>1</v>
      </c>
      <c r="K22" s="21">
        <v>0.20703125</v>
      </c>
      <c r="M22" s="16"/>
      <c r="N22" s="16"/>
    </row>
    <row r="23" spans="1:14" ht="28.8" x14ac:dyDescent="0.3">
      <c r="A23" s="16" t="s">
        <v>162</v>
      </c>
      <c r="B23" s="2">
        <v>0.3333333432674408</v>
      </c>
      <c r="C23" s="2">
        <v>0</v>
      </c>
      <c r="D23" s="22">
        <v>-0.95742708444595337</v>
      </c>
      <c r="E23" s="2">
        <v>0.27478477358818054</v>
      </c>
      <c r="G23" s="16" t="s">
        <v>162</v>
      </c>
      <c r="H23" s="21">
        <v>0.25</v>
      </c>
      <c r="I23" s="21">
        <v>0</v>
      </c>
      <c r="J23" s="23">
        <v>-0.70710676908493042</v>
      </c>
      <c r="K23" s="21">
        <v>0.35591769218444824</v>
      </c>
      <c r="M23" s="16"/>
      <c r="N23" s="16"/>
    </row>
    <row r="24" spans="1:14" ht="28.8" x14ac:dyDescent="0.3">
      <c r="A24" s="16" t="s">
        <v>163</v>
      </c>
      <c r="B24" s="2">
        <v>0.91666668653488159</v>
      </c>
      <c r="C24" s="2">
        <v>1</v>
      </c>
      <c r="D24" s="22">
        <v>0.40824830532073975</v>
      </c>
      <c r="E24" s="2">
        <v>0.634937584400177</v>
      </c>
      <c r="G24" s="16" t="s">
        <v>163</v>
      </c>
      <c r="H24" s="21">
        <v>1</v>
      </c>
      <c r="I24" s="21">
        <v>1</v>
      </c>
      <c r="J24" s="23"/>
      <c r="K24" s="21"/>
      <c r="M24" s="16"/>
      <c r="N24" s="16"/>
    </row>
    <row r="25" spans="1:14" ht="28.8" x14ac:dyDescent="0.3">
      <c r="A25" s="16" t="s">
        <v>164</v>
      </c>
      <c r="B25" s="2">
        <v>0.75</v>
      </c>
      <c r="C25" s="2">
        <v>1</v>
      </c>
      <c r="D25" s="22">
        <v>0.78173595666885376</v>
      </c>
      <c r="E25" s="2">
        <v>0.36884629726409912</v>
      </c>
      <c r="G25" s="16" t="s">
        <v>164</v>
      </c>
      <c r="H25" s="21">
        <v>0.75</v>
      </c>
      <c r="I25" s="21">
        <v>1</v>
      </c>
      <c r="J25" s="23">
        <v>0.70710676908493042</v>
      </c>
      <c r="K25" s="21">
        <v>0.35591769218444824</v>
      </c>
      <c r="M25" s="16"/>
      <c r="N25" s="16"/>
    </row>
    <row r="26" spans="1:14" ht="43.2" x14ac:dyDescent="0.3">
      <c r="A26" s="16" t="s">
        <v>165</v>
      </c>
      <c r="B26" s="2">
        <v>0</v>
      </c>
      <c r="C26" s="2">
        <v>0</v>
      </c>
      <c r="D26" s="2"/>
      <c r="E26" s="2"/>
      <c r="G26" s="16" t="s">
        <v>165</v>
      </c>
      <c r="H26" s="21">
        <v>0</v>
      </c>
      <c r="I26" s="21">
        <v>0</v>
      </c>
      <c r="J26" s="23"/>
      <c r="K26" s="21"/>
      <c r="M26" s="16"/>
      <c r="N26" s="16"/>
    </row>
    <row r="27" spans="1:14" ht="28.8" x14ac:dyDescent="0.3">
      <c r="A27" s="16" t="s">
        <v>166</v>
      </c>
      <c r="B27" s="2">
        <v>91.006080627441406</v>
      </c>
      <c r="C27" s="2">
        <v>77.142585754394531</v>
      </c>
      <c r="D27" s="22">
        <v>-0.37762215733528137</v>
      </c>
      <c r="E27" s="2">
        <v>0.65542715787887573</v>
      </c>
      <c r="G27" s="16" t="s">
        <v>166</v>
      </c>
      <c r="H27" s="21">
        <v>73.162895202636719</v>
      </c>
      <c r="I27" s="21">
        <v>84.009117126464844</v>
      </c>
      <c r="J27" s="23">
        <v>0.50753259658813477</v>
      </c>
      <c r="K27" s="21">
        <v>0.49988448619842529</v>
      </c>
      <c r="M27" s="16"/>
      <c r="N27" s="16"/>
    </row>
    <row r="28" spans="1:14" ht="28.8" x14ac:dyDescent="0.3">
      <c r="A28" s="16" t="s">
        <v>167</v>
      </c>
      <c r="B28" s="2">
        <v>6.5086278915405273</v>
      </c>
      <c r="C28" s="2">
        <v>6</v>
      </c>
      <c r="D28" s="2">
        <v>-0.21022455394268036</v>
      </c>
      <c r="E28" s="2">
        <v>0.80622881650924683</v>
      </c>
      <c r="G28" s="16" t="s">
        <v>167</v>
      </c>
      <c r="H28" s="21">
        <v>5</v>
      </c>
      <c r="I28" s="21">
        <v>6</v>
      </c>
      <c r="J28" s="23">
        <v>1</v>
      </c>
      <c r="K28" s="21">
        <v>0.20703125</v>
      </c>
      <c r="M28" s="16"/>
      <c r="N28" s="16"/>
    </row>
    <row r="29" spans="1:14" ht="43.2" x14ac:dyDescent="0.3">
      <c r="A29" s="16" t="s">
        <v>95</v>
      </c>
      <c r="B29" s="2">
        <v>16.778476715087891</v>
      </c>
      <c r="C29" s="2">
        <v>12.857097625732422</v>
      </c>
      <c r="D29" s="22">
        <v>-1.3323049545288086</v>
      </c>
      <c r="E29" s="2">
        <v>0.11246252804994583</v>
      </c>
      <c r="G29" s="16" t="s">
        <v>95</v>
      </c>
      <c r="H29" s="21">
        <v>14.454374313354492</v>
      </c>
      <c r="I29" s="21">
        <v>14.001519203186035</v>
      </c>
      <c r="J29" s="21">
        <v>-0.20114640891551971</v>
      </c>
      <c r="K29" s="21">
        <v>0.78561747074127197</v>
      </c>
      <c r="M29" s="16"/>
      <c r="N29" s="16"/>
    </row>
    <row r="30" spans="1:14" ht="43.2" x14ac:dyDescent="0.3">
      <c r="A30" s="16" t="s">
        <v>168</v>
      </c>
      <c r="B30" s="2">
        <v>1.3101937770843506</v>
      </c>
      <c r="C30" s="2">
        <v>1</v>
      </c>
      <c r="D30" s="22">
        <v>-0.5274391770362854</v>
      </c>
      <c r="E30" s="2">
        <v>0.54080736637115479</v>
      </c>
      <c r="G30" s="16" t="s">
        <v>168</v>
      </c>
      <c r="H30" s="21">
        <v>1</v>
      </c>
      <c r="I30" s="21">
        <v>1</v>
      </c>
      <c r="J30" s="21"/>
      <c r="K30" s="21"/>
      <c r="M30" s="16"/>
      <c r="N30" s="16"/>
    </row>
    <row r="31" spans="1:14" ht="28.8" x14ac:dyDescent="0.3">
      <c r="A31" s="16" t="s">
        <v>169</v>
      </c>
      <c r="B31" s="2">
        <v>-0.16660571098327637</v>
      </c>
      <c r="C31" s="2">
        <v>-0.23738095164299011</v>
      </c>
      <c r="D31" s="22">
        <v>-0.8748394250869751</v>
      </c>
      <c r="E31" s="2">
        <v>0.29974755644798279</v>
      </c>
      <c r="G31" s="16" t="s">
        <v>169</v>
      </c>
      <c r="H31" s="21">
        <v>-0.2315310537815094</v>
      </c>
      <c r="I31" s="21">
        <v>-0.23312045633792877</v>
      </c>
      <c r="J31" s="21">
        <v>-5.148036777973175E-2</v>
      </c>
      <c r="K31" s="21">
        <v>0.94432824850082397</v>
      </c>
      <c r="M31" s="16"/>
      <c r="N31" s="16"/>
    </row>
    <row r="32" spans="1:14" ht="43.2" x14ac:dyDescent="0.3">
      <c r="A32" s="16" t="s">
        <v>170</v>
      </c>
      <c r="B32" s="2">
        <v>-0.14154195785522461</v>
      </c>
      <c r="C32" s="2">
        <v>-0.20363804697990417</v>
      </c>
      <c r="D32" s="22">
        <v>-1.1147807836532593</v>
      </c>
      <c r="E32" s="2">
        <v>0.19119389355182648</v>
      </c>
      <c r="G32" s="16" t="s">
        <v>170</v>
      </c>
      <c r="H32" s="21">
        <v>-0.19536323845386505</v>
      </c>
      <c r="I32" s="21">
        <v>-0.18368092179298401</v>
      </c>
      <c r="J32" s="23">
        <v>0.29347887635231018</v>
      </c>
      <c r="K32" s="21">
        <v>0.69254368543624878</v>
      </c>
      <c r="M32" s="16"/>
      <c r="N32" s="16"/>
    </row>
    <row r="33" spans="1:14" ht="28.8" x14ac:dyDescent="0.3">
      <c r="A33" s="16" t="s">
        <v>171</v>
      </c>
      <c r="B33" s="2">
        <v>49.537059783935547</v>
      </c>
      <c r="C33" s="2">
        <v>45.861019134521484</v>
      </c>
      <c r="D33" s="22">
        <v>-0.51908719539642334</v>
      </c>
      <c r="E33" s="2">
        <v>0.50438004732131958</v>
      </c>
      <c r="G33" s="16" t="s">
        <v>171</v>
      </c>
      <c r="H33" s="21">
        <v>56.510902404785156</v>
      </c>
      <c r="I33" s="21">
        <v>47.659648895263672</v>
      </c>
      <c r="J33" s="23">
        <v>-1.2275325059890747</v>
      </c>
      <c r="K33" s="21">
        <v>0.13324649631977081</v>
      </c>
      <c r="M33" s="16"/>
      <c r="N33" s="16"/>
    </row>
    <row r="34" spans="1:14" ht="43.2" x14ac:dyDescent="0.3">
      <c r="A34" s="16" t="s">
        <v>98</v>
      </c>
      <c r="B34" s="2">
        <v>40.486038208007813</v>
      </c>
      <c r="C34" s="2">
        <v>45.312530517578125</v>
      </c>
      <c r="D34" s="22">
        <v>0.82809931039810181</v>
      </c>
      <c r="E34" s="2">
        <v>0.19265823066234589</v>
      </c>
      <c r="G34" s="16" t="s">
        <v>98</v>
      </c>
      <c r="H34" s="21">
        <v>40.332977294921875</v>
      </c>
      <c r="I34" s="21">
        <v>44.400161743164063</v>
      </c>
      <c r="J34" s="23">
        <v>0.84983956813812256</v>
      </c>
      <c r="K34" s="21">
        <v>0.27469921112060547</v>
      </c>
      <c r="M34" s="16"/>
      <c r="N34" s="16"/>
    </row>
    <row r="35" spans="1:14" ht="57.6" x14ac:dyDescent="0.3">
      <c r="A35" s="16" t="s">
        <v>172</v>
      </c>
      <c r="B35" s="2">
        <v>11.524076461791992</v>
      </c>
      <c r="C35" s="2">
        <v>14.640877723693848</v>
      </c>
      <c r="D35" s="22">
        <v>0.42767679691314697</v>
      </c>
      <c r="E35" s="2">
        <v>0.40184694528579712</v>
      </c>
      <c r="G35" s="16" t="s">
        <v>172</v>
      </c>
      <c r="H35" s="21">
        <v>13.208427429199219</v>
      </c>
      <c r="I35" s="21">
        <v>13.304027557373047</v>
      </c>
      <c r="J35" s="21">
        <v>1.4544054865837097E-2</v>
      </c>
      <c r="K35" s="21">
        <v>0.98425692319869995</v>
      </c>
      <c r="M35" s="16"/>
      <c r="N35" s="16"/>
    </row>
    <row r="36" spans="1:14" ht="28.8" x14ac:dyDescent="0.3">
      <c r="A36" s="16" t="s">
        <v>173</v>
      </c>
      <c r="B36" s="2">
        <v>73.243980407714844</v>
      </c>
      <c r="C36" s="2">
        <v>63.669795989990234</v>
      </c>
      <c r="D36" s="22">
        <v>-0.78362631797790527</v>
      </c>
      <c r="E36" s="2">
        <v>0.21947440505027771</v>
      </c>
      <c r="G36" s="16" t="s">
        <v>173</v>
      </c>
      <c r="H36" s="21">
        <v>73.428451538085938</v>
      </c>
      <c r="I36" s="21">
        <v>68.098098754882813</v>
      </c>
      <c r="J36" s="23">
        <v>-0.51669579744338989</v>
      </c>
      <c r="K36" s="21">
        <v>0.49248680472373962</v>
      </c>
      <c r="M36" s="16"/>
      <c r="N36" s="16"/>
    </row>
    <row r="37" spans="1:14" ht="28.8" x14ac:dyDescent="0.3">
      <c r="A37" s="16" t="s">
        <v>101</v>
      </c>
      <c r="B37" s="2">
        <v>51.75</v>
      </c>
      <c r="C37" s="2">
        <v>49.666667938232422</v>
      </c>
      <c r="D37" s="22">
        <v>-0.39120715856552124</v>
      </c>
      <c r="E37" s="2">
        <v>0.58885639905929565</v>
      </c>
      <c r="G37" s="16" t="s">
        <v>101</v>
      </c>
      <c r="H37" s="21">
        <v>52</v>
      </c>
      <c r="I37" s="21">
        <v>47.5</v>
      </c>
      <c r="J37" s="23">
        <v>-0.79343158006668091</v>
      </c>
      <c r="K37" s="21">
        <v>0.30471441149711609</v>
      </c>
      <c r="M37" s="16"/>
      <c r="N37" s="16"/>
    </row>
    <row r="38" spans="1:14" ht="57.6" x14ac:dyDescent="0.3">
      <c r="A38" s="16" t="s">
        <v>102</v>
      </c>
      <c r="B38" s="2">
        <v>0.3658333420753479</v>
      </c>
      <c r="C38" s="2">
        <v>0.36666667461395264</v>
      </c>
      <c r="D38" s="2">
        <v>3.5795357543975115E-3</v>
      </c>
      <c r="E38" s="2">
        <v>0.99452227354049683</v>
      </c>
      <c r="G38" s="16" t="s">
        <v>102</v>
      </c>
      <c r="H38" s="21">
        <v>0.37749999761581421</v>
      </c>
      <c r="I38" s="21">
        <v>0.46250000596046448</v>
      </c>
      <c r="J38" s="23">
        <v>0.36083200573921204</v>
      </c>
      <c r="K38" s="21">
        <v>0.62806951999664307</v>
      </c>
      <c r="M38" s="16"/>
      <c r="N38" s="16"/>
    </row>
    <row r="39" spans="1:14" ht="57.6" x14ac:dyDescent="0.3">
      <c r="A39" s="16" t="s">
        <v>174</v>
      </c>
      <c r="B39" s="2">
        <v>6.5694446563720703</v>
      </c>
      <c r="C39" s="2">
        <v>6.6666665077209473</v>
      </c>
      <c r="D39" s="2">
        <v>1.692051999270916E-2</v>
      </c>
      <c r="E39" s="2">
        <v>0.98078691959381104</v>
      </c>
      <c r="G39" s="16" t="s">
        <v>174</v>
      </c>
      <c r="H39" s="21">
        <v>1.7291667461395264</v>
      </c>
      <c r="I39" s="21">
        <v>7.75</v>
      </c>
      <c r="J39" s="23">
        <v>1.670864462852478</v>
      </c>
      <c r="K39" s="23">
        <v>5.605703592300415E-2</v>
      </c>
      <c r="M39" s="16"/>
      <c r="N39" s="16"/>
    </row>
    <row r="40" spans="1:14" ht="43.2" x14ac:dyDescent="0.3">
      <c r="A40" s="16" t="s">
        <v>175</v>
      </c>
      <c r="B40" s="2">
        <v>27.11805534362793</v>
      </c>
      <c r="C40" s="2">
        <v>25.666666030883789</v>
      </c>
      <c r="D40" s="2">
        <v>-0.16002029180526733</v>
      </c>
      <c r="E40" s="2">
        <v>0.80478620529174805</v>
      </c>
      <c r="G40" s="16" t="s">
        <v>175</v>
      </c>
      <c r="H40" s="21">
        <v>18.354166030883789</v>
      </c>
      <c r="I40" s="21">
        <v>24</v>
      </c>
      <c r="J40" s="23">
        <v>0.51074105501174927</v>
      </c>
      <c r="K40" s="21">
        <v>0.49728575348854065</v>
      </c>
      <c r="M40" s="16"/>
      <c r="N40" s="16"/>
    </row>
    <row r="41" spans="1:14" ht="43.2" x14ac:dyDescent="0.3">
      <c r="A41" s="16" t="s">
        <v>105</v>
      </c>
      <c r="B41" s="2">
        <v>0.5</v>
      </c>
      <c r="C41" s="2">
        <v>0.66666668653488159</v>
      </c>
      <c r="D41" s="22">
        <v>0.30276504158973694</v>
      </c>
      <c r="E41" s="2">
        <v>0.634937584400177</v>
      </c>
      <c r="G41" s="16" t="s">
        <v>105</v>
      </c>
      <c r="H41" s="21">
        <v>0</v>
      </c>
      <c r="I41" s="21">
        <v>0.75</v>
      </c>
      <c r="J41" s="23">
        <v>2.1213202476501465</v>
      </c>
      <c r="K41" s="23">
        <v>2.4008195847272873E-2</v>
      </c>
      <c r="M41" s="16"/>
      <c r="N41" s="16"/>
    </row>
    <row r="42" spans="1:14" ht="43.2" x14ac:dyDescent="0.3">
      <c r="A42" s="16" t="s">
        <v>176</v>
      </c>
      <c r="B42" s="2">
        <v>1</v>
      </c>
      <c r="C42" s="2">
        <v>1</v>
      </c>
      <c r="D42" s="2"/>
      <c r="E42" s="2"/>
      <c r="G42" s="16" t="s">
        <v>176</v>
      </c>
      <c r="H42" s="21">
        <v>1</v>
      </c>
      <c r="I42" s="21">
        <v>1</v>
      </c>
      <c r="J42" s="21"/>
      <c r="K42" s="21"/>
      <c r="M42" s="16"/>
      <c r="N42" s="16"/>
    </row>
    <row r="43" spans="1:14" ht="43.2" x14ac:dyDescent="0.3">
      <c r="A43" s="16" t="s">
        <v>106</v>
      </c>
      <c r="B43" s="2">
        <v>0.25</v>
      </c>
      <c r="C43" s="2">
        <v>0.3333333432674408</v>
      </c>
      <c r="D43" s="2">
        <v>0.16069099307060242</v>
      </c>
      <c r="E43" s="2">
        <v>0.78947722911834717</v>
      </c>
      <c r="G43" s="16" t="s">
        <v>106</v>
      </c>
      <c r="H43" s="21">
        <v>0.25</v>
      </c>
      <c r="I43" s="21">
        <v>0.25</v>
      </c>
      <c r="J43" s="21">
        <v>0</v>
      </c>
      <c r="K43" s="21">
        <v>1</v>
      </c>
      <c r="M43" s="16"/>
      <c r="N43" s="16"/>
    </row>
    <row r="44" spans="1:14" ht="43.2" x14ac:dyDescent="0.3">
      <c r="A44" s="16" t="s">
        <v>177</v>
      </c>
      <c r="B44" s="2">
        <v>46.5</v>
      </c>
      <c r="C44" s="2">
        <v>36</v>
      </c>
      <c r="D44" s="22">
        <v>-1.2906841039657593</v>
      </c>
      <c r="E44" s="2">
        <v>7.8458353877067566E-2</v>
      </c>
      <c r="G44" s="16" t="s">
        <v>177</v>
      </c>
      <c r="H44" s="21">
        <v>39.5</v>
      </c>
      <c r="I44" s="21">
        <v>40</v>
      </c>
      <c r="J44" s="21">
        <v>5.6077215820550919E-2</v>
      </c>
      <c r="K44" s="21">
        <v>0.93936878442764282</v>
      </c>
      <c r="M44" s="16"/>
      <c r="N44" s="16"/>
    </row>
    <row r="45" spans="1:14" x14ac:dyDescent="0.3">
      <c r="B45" s="2"/>
      <c r="C45" s="2"/>
      <c r="D45" s="2"/>
      <c r="E45" s="2"/>
    </row>
    <row r="46" spans="1:14" x14ac:dyDescent="0.3">
      <c r="B46" s="2"/>
      <c r="C46" s="2"/>
      <c r="D46" s="2"/>
      <c r="E46" s="2"/>
    </row>
    <row r="47" spans="1:14" x14ac:dyDescent="0.3">
      <c r="B47" s="2"/>
      <c r="C47" s="2"/>
      <c r="D47" s="22"/>
      <c r="E47" s="2"/>
    </row>
    <row r="48" spans="1:14" x14ac:dyDescent="0.3">
      <c r="B48" s="2"/>
      <c r="C48" s="2"/>
      <c r="D48" s="22"/>
      <c r="E48" s="2"/>
    </row>
    <row r="49" spans="2:5" x14ac:dyDescent="0.3">
      <c r="B49" s="2"/>
      <c r="C49" s="2"/>
      <c r="D49" s="2"/>
      <c r="E49" s="2"/>
    </row>
    <row r="50" spans="2:5" x14ac:dyDescent="0.3">
      <c r="B50" s="2"/>
      <c r="C50" s="2"/>
      <c r="D50" s="22"/>
      <c r="E50" s="2"/>
    </row>
    <row r="51" spans="2:5" x14ac:dyDescent="0.3">
      <c r="B51" s="2"/>
      <c r="C51" s="2"/>
      <c r="D51" s="22"/>
      <c r="E51" s="2"/>
    </row>
    <row r="52" spans="2:5" x14ac:dyDescent="0.3">
      <c r="B52" s="2"/>
      <c r="C52" s="2"/>
      <c r="D52" s="22"/>
      <c r="E52" s="2"/>
    </row>
    <row r="53" spans="2:5" x14ac:dyDescent="0.3">
      <c r="B53" s="2"/>
      <c r="C53" s="2"/>
      <c r="D53" s="22"/>
      <c r="E53" s="2"/>
    </row>
    <row r="54" spans="2:5" x14ac:dyDescent="0.3">
      <c r="B54" s="2"/>
      <c r="C54" s="2"/>
      <c r="D54" s="2"/>
      <c r="E54" s="2"/>
    </row>
    <row r="55" spans="2:5" x14ac:dyDescent="0.3">
      <c r="B55" s="2"/>
      <c r="C55" s="2"/>
      <c r="D55" s="2"/>
      <c r="E55" s="2"/>
    </row>
    <row r="56" spans="2:5" x14ac:dyDescent="0.3">
      <c r="B56" s="2"/>
      <c r="C56" s="2"/>
      <c r="D56" s="22"/>
      <c r="E56" s="2"/>
    </row>
    <row r="57" spans="2:5" x14ac:dyDescent="0.3">
      <c r="B57" s="2"/>
      <c r="C57" s="2"/>
      <c r="D57" s="2"/>
      <c r="E57" s="2"/>
    </row>
    <row r="58" spans="2:5" x14ac:dyDescent="0.3">
      <c r="B58" s="2"/>
      <c r="C58" s="2"/>
      <c r="D58" s="22"/>
      <c r="E58" s="2"/>
    </row>
    <row r="59" spans="2:5" x14ac:dyDescent="0.3">
      <c r="B59" s="2"/>
      <c r="C59" s="2"/>
      <c r="D59" s="2"/>
      <c r="E59" s="2"/>
    </row>
    <row r="60" spans="2:5" x14ac:dyDescent="0.3">
      <c r="B60" s="2"/>
      <c r="C60" s="2"/>
      <c r="D60" s="22"/>
      <c r="E60" s="2"/>
    </row>
    <row r="61" spans="2:5" x14ac:dyDescent="0.3">
      <c r="B61" s="2"/>
      <c r="C61" s="2"/>
      <c r="D61" s="2"/>
      <c r="E61" s="2"/>
    </row>
    <row r="62" spans="2:5" x14ac:dyDescent="0.3">
      <c r="B62" s="2"/>
      <c r="C62" s="2"/>
      <c r="D62" s="2"/>
      <c r="E62" s="2"/>
    </row>
    <row r="63" spans="2:5" x14ac:dyDescent="0.3">
      <c r="B63" s="2"/>
      <c r="C63" s="2"/>
      <c r="D63" s="2"/>
      <c r="E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Hoja3</vt:lpstr>
      <vt:lpstr>Tratadas</vt:lpstr>
      <vt:lpstr>Corr</vt:lpstr>
      <vt:lpstr>Matching manual</vt:lpstr>
      <vt:lpstr>Matching exacto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Anauati</dc:creator>
  <cp:lastModifiedBy>Victoria Anauati</cp:lastModifiedBy>
  <dcterms:created xsi:type="dcterms:W3CDTF">2026-03-24T18:43:14Z</dcterms:created>
  <dcterms:modified xsi:type="dcterms:W3CDTF">2026-04-04T21:10:54Z</dcterms:modified>
</cp:coreProperties>
</file>